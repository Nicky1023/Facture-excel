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AYNA\"/>
    </mc:Choice>
  </mc:AlternateContent>
  <bookViews>
    <workbookView xWindow="0" yWindow="0" windowWidth="20490" windowHeight="7905" activeTab="5"/>
  </bookViews>
  <sheets>
    <sheet name="Formulaire" sheetId="1" r:id="rId1"/>
    <sheet name="Historique devis" sheetId="6" r:id="rId2"/>
    <sheet name="Historique facture" sheetId="7" r:id="rId3"/>
    <sheet name="Modele-devis-sansDevise " sheetId="3" r:id="rId4"/>
    <sheet name="Modele-devis-avecDevise" sheetId="2" r:id="rId5"/>
    <sheet name="Modele-facture-sansDevise" sheetId="4" r:id="rId6"/>
    <sheet name="Modele-Facture-avecDevise" sheetId="5" r:id="rId7"/>
  </sheets>
  <functionGroups builtInGroupCount="18"/>
  <definedNames>
    <definedName name="_xlnm.Print_Area" localSheetId="4">'Modele-devis-avecDevise'!$A$1:$J$67</definedName>
    <definedName name="_xlnm.Print_Area" localSheetId="3">'Modele-devis-sansDevise '!$A$1:$H$65</definedName>
    <definedName name="_xlnm.Print_Area" localSheetId="6">'Modele-Facture-avecDevise'!$A$1:$J$71</definedName>
    <definedName name="_xlnm.Print_Area" localSheetId="5">'Modele-facture-sansDevise'!$A$1:$H$68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5" l="1"/>
  <c r="G26" i="5"/>
  <c r="G27" i="5"/>
  <c r="G28" i="5"/>
  <c r="G29" i="5"/>
  <c r="G30" i="5"/>
  <c r="J30" i="5" s="1"/>
  <c r="G31" i="5"/>
  <c r="J31" i="5" s="1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J25" i="5"/>
  <c r="G25" i="1"/>
  <c r="A20" i="5"/>
  <c r="G30" i="1"/>
  <c r="G29" i="1"/>
  <c r="A20" i="2"/>
  <c r="I30" i="5"/>
  <c r="I31" i="5"/>
  <c r="I32" i="5"/>
  <c r="J32" i="5"/>
  <c r="I33" i="5"/>
  <c r="J33" i="5"/>
  <c r="I34" i="5"/>
  <c r="J34" i="5"/>
  <c r="I35" i="5"/>
  <c r="J35" i="5"/>
  <c r="I36" i="5"/>
  <c r="J36" i="5"/>
  <c r="I37" i="5"/>
  <c r="J37" i="5"/>
  <c r="I38" i="5"/>
  <c r="J38" i="5"/>
  <c r="I39" i="5"/>
  <c r="J39" i="5"/>
  <c r="I40" i="5"/>
  <c r="J40" i="5"/>
  <c r="I41" i="5"/>
  <c r="J41" i="5"/>
  <c r="I42" i="5"/>
  <c r="J42" i="5"/>
  <c r="I43" i="5"/>
  <c r="J43" i="5"/>
  <c r="I44" i="5"/>
  <c r="J44" i="5"/>
  <c r="I45" i="5"/>
  <c r="J45" i="5"/>
  <c r="I46" i="5"/>
  <c r="J46" i="5"/>
  <c r="I47" i="5"/>
  <c r="J47" i="5"/>
  <c r="I25" i="5"/>
  <c r="F24" i="5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23" i="4"/>
  <c r="H23" i="1"/>
  <c r="G53" i="5" l="1"/>
  <c r="G53" i="2"/>
  <c r="F51" i="4"/>
  <c r="F51" i="3"/>
  <c r="H4" i="5" l="1"/>
  <c r="H3" i="5"/>
  <c r="G3" i="4"/>
  <c r="H3" i="2"/>
  <c r="G3" i="3"/>
  <c r="G26" i="2" l="1"/>
  <c r="J26" i="2" s="1"/>
  <c r="G27" i="2"/>
  <c r="J27" i="2" s="1"/>
  <c r="G28" i="2"/>
  <c r="J28" i="2" s="1"/>
  <c r="G29" i="2"/>
  <c r="J29" i="2" s="1"/>
  <c r="G30" i="2"/>
  <c r="J30" i="2" s="1"/>
  <c r="G31" i="2"/>
  <c r="G32" i="2"/>
  <c r="G33" i="2"/>
  <c r="J33" i="2" s="1"/>
  <c r="G34" i="2"/>
  <c r="G35" i="2"/>
  <c r="G36" i="2"/>
  <c r="G37" i="2"/>
  <c r="J37" i="2" s="1"/>
  <c r="G38" i="2"/>
  <c r="G39" i="2"/>
  <c r="G40" i="2"/>
  <c r="G41" i="2"/>
  <c r="J41" i="2" s="1"/>
  <c r="G42" i="2"/>
  <c r="G43" i="2"/>
  <c r="G44" i="2"/>
  <c r="G45" i="2"/>
  <c r="J45" i="2" s="1"/>
  <c r="G46" i="2"/>
  <c r="G47" i="2"/>
  <c r="G25" i="2"/>
  <c r="J25" i="2" s="1"/>
  <c r="I26" i="2"/>
  <c r="I27" i="2"/>
  <c r="I28" i="2"/>
  <c r="I29" i="2"/>
  <c r="I30" i="2"/>
  <c r="I31" i="2"/>
  <c r="J31" i="2"/>
  <c r="I32" i="2"/>
  <c r="J32" i="2"/>
  <c r="I33" i="2"/>
  <c r="I34" i="2"/>
  <c r="J34" i="2"/>
  <c r="I35" i="2"/>
  <c r="J35" i="2"/>
  <c r="I36" i="2"/>
  <c r="J36" i="2"/>
  <c r="I37" i="2"/>
  <c r="I38" i="2"/>
  <c r="J38" i="2"/>
  <c r="I39" i="2"/>
  <c r="J39" i="2"/>
  <c r="I40" i="2"/>
  <c r="J40" i="2"/>
  <c r="I41" i="2"/>
  <c r="I42" i="2"/>
  <c r="J42" i="2"/>
  <c r="I43" i="2"/>
  <c r="J43" i="2"/>
  <c r="I44" i="2"/>
  <c r="J44" i="2"/>
  <c r="I45" i="2"/>
  <c r="I46" i="2"/>
  <c r="J46" i="2"/>
  <c r="I47" i="2"/>
  <c r="J47" i="2"/>
  <c r="I25" i="2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23" i="3"/>
  <c r="I51" i="5"/>
  <c r="I29" i="5"/>
  <c r="J29" i="5"/>
  <c r="I28" i="5"/>
  <c r="J28" i="5"/>
  <c r="I27" i="5"/>
  <c r="J27" i="5"/>
  <c r="I26" i="5"/>
  <c r="J26" i="5"/>
  <c r="I24" i="5"/>
  <c r="H20" i="5"/>
  <c r="H5" i="5"/>
  <c r="G4" i="4"/>
  <c r="G5" i="4"/>
  <c r="G4" i="3"/>
  <c r="G5" i="3"/>
  <c r="I51" i="2"/>
  <c r="I24" i="2"/>
  <c r="F24" i="2"/>
  <c r="H20" i="2"/>
  <c r="H5" i="2"/>
  <c r="H4" i="2"/>
  <c r="I48" i="5" l="1"/>
  <c r="I52" i="5" s="1"/>
  <c r="I53" i="5" s="1"/>
  <c r="H46" i="4"/>
  <c r="H50" i="4" s="1"/>
  <c r="H51" i="4" s="1"/>
  <c r="J48" i="5"/>
  <c r="J52" i="5" s="1"/>
  <c r="J53" i="5" s="1"/>
  <c r="H46" i="3"/>
  <c r="H50" i="3" s="1"/>
  <c r="H51" i="3" s="1"/>
  <c r="I48" i="2"/>
  <c r="I52" i="2" s="1"/>
  <c r="J48" i="2"/>
  <c r="J52" i="2" s="1"/>
  <c r="I54" i="5" l="1"/>
  <c r="H52" i="4"/>
  <c r="I53" i="2"/>
  <c r="I54" i="2" s="1"/>
  <c r="J53" i="2"/>
  <c r="J54" i="2" s="1"/>
  <c r="J54" i="5"/>
  <c r="H52" i="3"/>
  <c r="G56" i="5"/>
  <c r="F54" i="4"/>
</calcChain>
</file>

<file path=xl/sharedStrings.xml><?xml version="1.0" encoding="utf-8"?>
<sst xmlns="http://schemas.openxmlformats.org/spreadsheetml/2006/main" count="253" uniqueCount="96">
  <si>
    <t>PROPOSITION COMMERCIALE</t>
  </si>
  <si>
    <t>Emetteur</t>
  </si>
  <si>
    <t>Adressée à</t>
  </si>
  <si>
    <t>Sayna Madagascar</t>
  </si>
  <si>
    <t>Afriport Business Center Tanjombato</t>
  </si>
  <si>
    <t>101 Antananarivo</t>
  </si>
  <si>
    <t>Madagascar</t>
  </si>
  <si>
    <t>Tel: +261 34 29 093 40</t>
  </si>
  <si>
    <t>Email: matina@sayna.io</t>
  </si>
  <si>
    <t>web: www.sayna.io</t>
  </si>
  <si>
    <t>Montant exprimé en Ariary</t>
  </si>
  <si>
    <t>Désignation</t>
  </si>
  <si>
    <t>TVA</t>
  </si>
  <si>
    <t xml:space="preserve">PU HT (en Ar) </t>
  </si>
  <si>
    <t>Total HT (en Ar)</t>
  </si>
  <si>
    <t>TOTAL HT</t>
  </si>
  <si>
    <t>En Ar</t>
  </si>
  <si>
    <t xml:space="preserve">Total HT </t>
  </si>
  <si>
    <t>Total TTC</t>
  </si>
  <si>
    <t xml:space="preserve">Reglement par virement sur le compte bancaire suivant : </t>
  </si>
  <si>
    <t>Cachet, Date, Signature et mention "Bon pour Accord"</t>
  </si>
  <si>
    <t>Banque: Acces Banque</t>
  </si>
  <si>
    <t>Numéro de compte : 00011 00001 24100771177 17</t>
  </si>
  <si>
    <t>Nom du propriétaire du compte : Sayna</t>
  </si>
  <si>
    <t>Code IBAN : MG4600011000012410077117717</t>
  </si>
  <si>
    <t>Code BIC/SWIFT : ABMGMGMG</t>
  </si>
  <si>
    <t xml:space="preserve">Ref </t>
  </si>
  <si>
    <t>Date</t>
  </si>
  <si>
    <t>Date fin validation</t>
  </si>
  <si>
    <t>Adresse</t>
  </si>
  <si>
    <t xml:space="preserve">Ville </t>
  </si>
  <si>
    <t>Pays</t>
  </si>
  <si>
    <t>Devise</t>
  </si>
  <si>
    <t>Banque</t>
  </si>
  <si>
    <t>Modalités de paiement</t>
  </si>
  <si>
    <t>€</t>
  </si>
  <si>
    <t>SARL - STAT:  85497112018010389 - NIF: 5002997537 - RCS: 2018B00384</t>
  </si>
  <si>
    <t>Qté</t>
  </si>
  <si>
    <t>DEVIS</t>
  </si>
  <si>
    <t xml:space="preserve">Taux de Change </t>
  </si>
  <si>
    <t>FACTURE</t>
  </si>
  <si>
    <t>Date TC</t>
  </si>
  <si>
    <t>Info devis</t>
  </si>
  <si>
    <t>Clients</t>
  </si>
  <si>
    <t>NIF</t>
  </si>
  <si>
    <t>STAT</t>
  </si>
  <si>
    <t>RCS</t>
  </si>
  <si>
    <t>Devise et taux de change</t>
  </si>
  <si>
    <t>PAIEMENT</t>
  </si>
  <si>
    <t>Info facture</t>
  </si>
  <si>
    <t>Date d'échéance</t>
  </si>
  <si>
    <t>Date de facturation</t>
  </si>
  <si>
    <t>Description</t>
  </si>
  <si>
    <t>Designation</t>
  </si>
  <si>
    <t>PU HT devise</t>
  </si>
  <si>
    <t>PU HT Ar</t>
  </si>
  <si>
    <t>Qte</t>
  </si>
  <si>
    <t>Facture</t>
  </si>
  <si>
    <t>Date facturation</t>
  </si>
  <si>
    <t>Date echeance</t>
  </si>
  <si>
    <t>Montant HT devise</t>
  </si>
  <si>
    <t>Montant HT Ar</t>
  </si>
  <si>
    <t>Montant TTC devise</t>
  </si>
  <si>
    <t>Montant TTC Ar</t>
  </si>
  <si>
    <t>21/10/2020</t>
  </si>
  <si>
    <t>Banque: Qonto</t>
  </si>
  <si>
    <t>Numéro de compte : 16958 00001 82391824433 76</t>
  </si>
  <si>
    <t>Nom du propriétaire du compte : Sayna Advisory</t>
  </si>
  <si>
    <t>Code IBAN : FR76 1695 8000 0182 3918 2443 376</t>
  </si>
  <si>
    <t>Code BIC/SWIFT : QNTOFRP1XXX</t>
  </si>
  <si>
    <t xml:space="preserve">Modalités de paiement : </t>
  </si>
  <si>
    <t>26/10/2020</t>
  </si>
  <si>
    <t>Nicky Harinjatovo</t>
  </si>
  <si>
    <t>Ambatomainty</t>
  </si>
  <si>
    <t>Antananarivo</t>
  </si>
  <si>
    <t>Plug and play</t>
  </si>
  <si>
    <t>50% au demarrage</t>
  </si>
  <si>
    <t>50% à la livraison</t>
  </si>
  <si>
    <t>30 % à la commande</t>
  </si>
  <si>
    <t>12 mensualités</t>
  </si>
  <si>
    <t>$</t>
  </si>
  <si>
    <t>21/11/2020</t>
  </si>
  <si>
    <t>Nirina Razafimahefa</t>
  </si>
  <si>
    <t>Ambohibao</t>
  </si>
  <si>
    <t>Creation design site web</t>
  </si>
  <si>
    <t>12 mensualites</t>
  </si>
  <si>
    <t>22/10/2020</t>
  </si>
  <si>
    <t>RAZAFIARIJAONA Hervéa Raymonde</t>
  </si>
  <si>
    <t>Lot IAG 146 A Antoetra Ambohidrapeto</t>
  </si>
  <si>
    <t>Rakoto Johariniarivo Franck</t>
  </si>
  <si>
    <t>Lot 14 H II ter Anosy Avaratra</t>
  </si>
  <si>
    <t>27/10/2020</t>
  </si>
  <si>
    <t>AZARIAH Tommy Joan</t>
  </si>
  <si>
    <t>Lot IVA 120 Bis Ambodivoanjo</t>
  </si>
  <si>
    <t xml:space="preserve">Paiement du 10 % du frais de formation </t>
  </si>
  <si>
    <t>A réception de la facture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</si>
</sst>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\ _A_r_-;\-* #,##0\ _A_r_-;_-* &quot;-&quot;\ _A_r_-;_-@_-"/>
    <numFmt numFmtId="164" formatCode="_-* #,##0.00\ _€_-;\-* #,##0.00\ _€_-;_-* &quot;-&quot;??\ _€_-;_-@"/>
    <numFmt numFmtId="165" formatCode="m/d/yy;@"/>
    <numFmt numFmtId="166" formatCode="d/m/yy;@"/>
  </numFmts>
  <fonts count="13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6"/>
      <color theme="1"/>
      <name val="Calibri"/>
      <family val="2"/>
    </font>
    <font>
      <sz val="14"/>
      <color theme="1"/>
      <name val="Calibri"/>
      <family val="2"/>
    </font>
    <font>
      <sz val="11"/>
      <color theme="1"/>
      <name val="Calibri"/>
      <family val="2"/>
    </font>
    <font>
      <sz val="11"/>
      <name val="Arial"/>
      <family val="2"/>
    </font>
    <font>
      <b/>
      <u/>
      <sz val="11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Calibri"/>
      <family val="2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67">
    <xf numFmtId="0" fontId="0" fillId="0" borderId="0" xfId="0"/>
    <xf numFmtId="0" fontId="2" fillId="0" borderId="0" xfId="3" applyFont="1" applyAlignment="1"/>
    <xf numFmtId="0" fontId="3" fillId="0" borderId="0" xfId="3" applyFont="1"/>
    <xf numFmtId="0" fontId="4" fillId="0" borderId="0" xfId="3" applyFont="1"/>
    <xf numFmtId="0" fontId="5" fillId="0" borderId="0" xfId="3" applyFont="1"/>
    <xf numFmtId="0" fontId="3" fillId="2" borderId="1" xfId="3" applyFont="1" applyFill="1" applyBorder="1"/>
    <xf numFmtId="0" fontId="3" fillId="2" borderId="2" xfId="3" applyFont="1" applyFill="1" applyBorder="1"/>
    <xf numFmtId="0" fontId="3" fillId="2" borderId="3" xfId="3" applyFont="1" applyFill="1" applyBorder="1"/>
    <xf numFmtId="0" fontId="5" fillId="2" borderId="4" xfId="3" applyFont="1" applyFill="1" applyBorder="1"/>
    <xf numFmtId="0" fontId="5" fillId="2" borderId="0" xfId="3" applyFont="1" applyFill="1" applyBorder="1"/>
    <xf numFmtId="0" fontId="5" fillId="2" borderId="5" xfId="3" applyFont="1" applyFill="1" applyBorder="1"/>
    <xf numFmtId="0" fontId="5" fillId="2" borderId="6" xfId="3" applyFont="1" applyFill="1" applyBorder="1"/>
    <xf numFmtId="0" fontId="5" fillId="2" borderId="7" xfId="3" applyFont="1" applyFill="1" applyBorder="1"/>
    <xf numFmtId="0" fontId="5" fillId="2" borderId="8" xfId="3" applyFont="1" applyFill="1" applyBorder="1"/>
    <xf numFmtId="0" fontId="4" fillId="0" borderId="9" xfId="3" applyFont="1" applyBorder="1" applyAlignment="1">
      <alignment horizontal="center" vertical="center"/>
    </xf>
    <xf numFmtId="0" fontId="4" fillId="0" borderId="9" xfId="3" applyFont="1" applyBorder="1" applyAlignment="1">
      <alignment horizontal="center" vertical="center" wrapText="1"/>
    </xf>
    <xf numFmtId="0" fontId="5" fillId="0" borderId="0" xfId="3" applyFont="1" applyAlignment="1">
      <alignment vertical="center"/>
    </xf>
    <xf numFmtId="9" fontId="4" fillId="0" borderId="10" xfId="3" applyNumberFormat="1" applyFont="1" applyBorder="1" applyAlignment="1">
      <alignment vertical="center"/>
    </xf>
    <xf numFmtId="164" fontId="4" fillId="0" borderId="11" xfId="3" applyNumberFormat="1" applyFont="1" applyBorder="1" applyAlignment="1">
      <alignment vertical="center"/>
    </xf>
    <xf numFmtId="0" fontId="4" fillId="0" borderId="12" xfId="3" applyFont="1" applyBorder="1" applyAlignment="1">
      <alignment vertical="center"/>
    </xf>
    <xf numFmtId="164" fontId="4" fillId="0" borderId="10" xfId="3" applyNumberFormat="1" applyFont="1" applyBorder="1" applyAlignment="1">
      <alignment vertical="center"/>
    </xf>
    <xf numFmtId="0" fontId="2" fillId="0" borderId="0" xfId="3" applyFont="1" applyBorder="1" applyAlignment="1"/>
    <xf numFmtId="0" fontId="4" fillId="0" borderId="10" xfId="3" applyFont="1" applyBorder="1" applyAlignment="1">
      <alignment vertical="center"/>
    </xf>
    <xf numFmtId="0" fontId="4" fillId="0" borderId="11" xfId="3" applyFont="1" applyBorder="1" applyAlignment="1">
      <alignment vertical="center"/>
    </xf>
    <xf numFmtId="0" fontId="4" fillId="0" borderId="13" xfId="3" applyFont="1" applyBorder="1" applyAlignment="1">
      <alignment vertical="center"/>
    </xf>
    <xf numFmtId="0" fontId="4" fillId="0" borderId="14" xfId="3" applyFont="1" applyBorder="1" applyAlignment="1">
      <alignment vertical="center"/>
    </xf>
    <xf numFmtId="0" fontId="4" fillId="0" borderId="15" xfId="3" applyFont="1" applyBorder="1" applyAlignment="1">
      <alignment vertical="center"/>
    </xf>
    <xf numFmtId="0" fontId="4" fillId="0" borderId="0" xfId="3" applyFont="1" applyAlignment="1">
      <alignment vertical="center"/>
    </xf>
    <xf numFmtId="164" fontId="4" fillId="0" borderId="16" xfId="3" applyNumberFormat="1" applyFont="1" applyBorder="1" applyAlignment="1">
      <alignment vertical="center"/>
    </xf>
    <xf numFmtId="164" fontId="4" fillId="0" borderId="9" xfId="3" applyNumberFormat="1" applyFont="1" applyBorder="1" applyAlignment="1">
      <alignment vertical="center"/>
    </xf>
    <xf numFmtId="0" fontId="5" fillId="0" borderId="19" xfId="3" applyFont="1" applyBorder="1" applyAlignment="1">
      <alignment horizontal="center"/>
    </xf>
    <xf numFmtId="164" fontId="5" fillId="0" borderId="19" xfId="3" applyNumberFormat="1" applyFont="1" applyBorder="1" applyAlignment="1">
      <alignment vertical="center"/>
    </xf>
    <xf numFmtId="164" fontId="5" fillId="3" borderId="19" xfId="3" applyNumberFormat="1" applyFont="1" applyFill="1" applyBorder="1" applyAlignment="1">
      <alignment vertical="center"/>
    </xf>
    <xf numFmtId="0" fontId="7" fillId="0" borderId="1" xfId="3" applyFont="1" applyBorder="1" applyAlignment="1">
      <alignment vertical="center"/>
    </xf>
    <xf numFmtId="0" fontId="7" fillId="0" borderId="2" xfId="3" applyFont="1" applyBorder="1" applyAlignment="1">
      <alignment vertical="center"/>
    </xf>
    <xf numFmtId="0" fontId="7" fillId="0" borderId="3" xfId="3" applyFont="1" applyBorder="1" applyAlignment="1">
      <alignment vertical="center"/>
    </xf>
    <xf numFmtId="0" fontId="8" fillId="0" borderId="4" xfId="3" quotePrefix="1" applyFont="1" applyBorder="1" applyAlignment="1">
      <alignment vertical="center"/>
    </xf>
    <xf numFmtId="0" fontId="2" fillId="0" borderId="0" xfId="3" quotePrefix="1" applyFont="1" applyBorder="1" applyAlignment="1">
      <alignment vertical="center"/>
    </xf>
    <xf numFmtId="0" fontId="2" fillId="0" borderId="5" xfId="3" quotePrefix="1" applyFont="1" applyBorder="1" applyAlignment="1">
      <alignment vertical="center"/>
    </xf>
    <xf numFmtId="0" fontId="7" fillId="0" borderId="0" xfId="3" applyFont="1" applyBorder="1" applyAlignment="1">
      <alignment vertical="center"/>
    </xf>
    <xf numFmtId="0" fontId="2" fillId="0" borderId="0" xfId="3" applyFont="1" applyBorder="1" applyAlignment="1">
      <alignment vertical="center"/>
    </xf>
    <xf numFmtId="0" fontId="2" fillId="0" borderId="4" xfId="3" applyFont="1" applyBorder="1" applyAlignment="1"/>
    <xf numFmtId="0" fontId="2" fillId="0" borderId="5" xfId="3" applyFont="1" applyBorder="1" applyAlignment="1">
      <alignment vertical="center"/>
    </xf>
    <xf numFmtId="0" fontId="2" fillId="0" borderId="5" xfId="3" applyFont="1" applyBorder="1" applyAlignment="1"/>
    <xf numFmtId="0" fontId="2" fillId="0" borderId="6" xfId="3" applyFont="1" applyBorder="1" applyAlignment="1"/>
    <xf numFmtId="0" fontId="2" fillId="0" borderId="7" xfId="3" applyFont="1" applyBorder="1" applyAlignment="1"/>
    <xf numFmtId="0" fontId="2" fillId="0" borderId="8" xfId="3" applyFont="1" applyBorder="1" applyAlignment="1"/>
    <xf numFmtId="0" fontId="5" fillId="0" borderId="1" xfId="3" applyFont="1" applyBorder="1"/>
    <xf numFmtId="0" fontId="2" fillId="0" borderId="3" xfId="3" applyFont="1" applyBorder="1" applyAlignment="1"/>
    <xf numFmtId="0" fontId="5" fillId="0" borderId="4" xfId="3" applyFont="1" applyBorder="1"/>
    <xf numFmtId="0" fontId="5" fillId="0" borderId="0" xfId="3" applyFont="1" applyBorder="1"/>
    <xf numFmtId="0" fontId="5" fillId="0" borderId="0" xfId="3" applyFont="1" applyBorder="1" applyAlignment="1"/>
    <xf numFmtId="165" fontId="2" fillId="0" borderId="0" xfId="3" applyNumberFormat="1" applyFont="1" applyAlignment="1"/>
    <xf numFmtId="166" fontId="2" fillId="0" borderId="0" xfId="3" applyNumberFormat="1" applyFont="1" applyAlignment="1"/>
    <xf numFmtId="0" fontId="8" fillId="0" borderId="0" xfId="3" applyFont="1" applyAlignment="1"/>
    <xf numFmtId="41" fontId="2" fillId="0" borderId="0" xfId="1" applyFont="1" applyAlignment="1"/>
    <xf numFmtId="0" fontId="5" fillId="0" borderId="2" xfId="3" applyFont="1" applyBorder="1"/>
    <xf numFmtId="0" fontId="5" fillId="0" borderId="3" xfId="3" applyFont="1" applyBorder="1"/>
    <xf numFmtId="0" fontId="5" fillId="0" borderId="5" xfId="3" applyFont="1" applyBorder="1"/>
    <xf numFmtId="0" fontId="5" fillId="0" borderId="6" xfId="3" applyFont="1" applyBorder="1"/>
    <xf numFmtId="0" fontId="5" fillId="0" borderId="7" xfId="3" applyFont="1" applyBorder="1"/>
    <xf numFmtId="0" fontId="5" fillId="0" borderId="8" xfId="3" applyFont="1" applyBorder="1"/>
    <xf numFmtId="165" fontId="8" fillId="0" borderId="0" xfId="3" applyNumberFormat="1" applyFont="1" applyAlignment="1"/>
    <xf numFmtId="0" fontId="10" fillId="0" borderId="0" xfId="3" applyFont="1"/>
    <xf numFmtId="0" fontId="11" fillId="0" borderId="0" xfId="3" applyFont="1"/>
    <xf numFmtId="0" fontId="10" fillId="0" borderId="0" xfId="3" applyFont="1" applyAlignment="1"/>
    <xf numFmtId="9" fontId="4" fillId="0" borderId="10" xfId="2" applyFont="1" applyBorder="1" applyAlignment="1">
      <alignment vertical="center"/>
    </xf>
    <xf numFmtId="14" fontId="2" fillId="0" borderId="0" xfId="3" applyNumberFormat="1" applyFont="1" applyAlignment="1"/>
    <xf numFmtId="9" fontId="4" fillId="0" borderId="13" xfId="3" applyNumberFormat="1" applyFont="1" applyBorder="1" applyAlignment="1">
      <alignment vertical="center"/>
    </xf>
    <xf numFmtId="9" fontId="2" fillId="0" borderId="0" xfId="2" applyFont="1" applyAlignment="1"/>
    <xf numFmtId="0" fontId="2" fillId="0" borderId="0" xfId="3" applyFont="1" applyBorder="1" applyAlignment="1"/>
    <xf numFmtId="0" fontId="9" fillId="4" borderId="0" xfId="3" applyFont="1" applyFill="1" applyBorder="1" applyAlignment="1">
      <alignment horizontal="center" vertical="center"/>
    </xf>
    <xf numFmtId="0" fontId="2" fillId="0" borderId="0" xfId="3" applyFont="1" applyAlignment="1"/>
    <xf numFmtId="41" fontId="0" fillId="0" borderId="0" xfId="1" applyFont="1"/>
    <xf numFmtId="0" fontId="2" fillId="0" borderId="0" xfId="3" applyFont="1" applyBorder="1" applyAlignment="1"/>
    <xf numFmtId="9" fontId="0" fillId="0" borderId="0" xfId="2" applyFont="1"/>
    <xf numFmtId="0" fontId="2" fillId="0" borderId="0" xfId="3" applyFont="1" applyBorder="1" applyAlignment="1">
      <alignment horizontal="left"/>
    </xf>
    <xf numFmtId="0" fontId="2" fillId="0" borderId="0" xfId="3" quotePrefix="1" applyFont="1" applyBorder="1" applyAlignment="1">
      <alignment horizontal="left" vertical="center"/>
    </xf>
    <xf numFmtId="164" fontId="4" fillId="0" borderId="23" xfId="3" applyNumberFormat="1" applyFont="1" applyBorder="1" applyAlignment="1">
      <alignment vertical="center"/>
    </xf>
    <xf numFmtId="9" fontId="4" fillId="0" borderId="0" xfId="3" applyNumberFormat="1" applyFont="1" applyBorder="1" applyAlignment="1">
      <alignment vertical="center"/>
    </xf>
    <xf numFmtId="0" fontId="4" fillId="0" borderId="0" xfId="3" applyFont="1" applyBorder="1" applyAlignment="1">
      <alignment vertical="center"/>
    </xf>
    <xf numFmtId="164" fontId="4" fillId="0" borderId="24" xfId="3" applyNumberFormat="1" applyFont="1" applyBorder="1" applyAlignment="1">
      <alignment vertical="center"/>
    </xf>
    <xf numFmtId="164" fontId="4" fillId="0" borderId="25" xfId="3" applyNumberFormat="1" applyFont="1" applyBorder="1" applyAlignment="1">
      <alignment vertical="center"/>
    </xf>
    <xf numFmtId="0" fontId="4" fillId="0" borderId="25" xfId="3" applyFont="1" applyBorder="1" applyAlignment="1">
      <alignment vertical="center"/>
    </xf>
    <xf numFmtId="0" fontId="4" fillId="0" borderId="2" xfId="3" applyFont="1" applyBorder="1" applyAlignment="1">
      <alignment vertical="center"/>
    </xf>
    <xf numFmtId="164" fontId="5" fillId="0" borderId="9" xfId="3" applyNumberFormat="1" applyFont="1" applyBorder="1" applyAlignment="1">
      <alignment vertical="center"/>
    </xf>
    <xf numFmtId="164" fontId="5" fillId="3" borderId="9" xfId="3" applyNumberFormat="1" applyFont="1" applyFill="1" applyBorder="1" applyAlignment="1">
      <alignment vertical="center"/>
    </xf>
    <xf numFmtId="0" fontId="5" fillId="0" borderId="9" xfId="3" applyFont="1" applyBorder="1" applyAlignment="1">
      <alignment horizontal="center"/>
    </xf>
    <xf numFmtId="0" fontId="0" fillId="5" borderId="0" xfId="0" applyFill="1" applyAlignment="1">
      <alignment horizontal="center"/>
    </xf>
    <xf numFmtId="9" fontId="0" fillId="5" borderId="0" xfId="2" applyFont="1" applyFill="1" applyAlignment="1">
      <alignment horizontal="center"/>
    </xf>
    <xf numFmtId="0" fontId="5" fillId="0" borderId="4" xfId="3" applyFont="1" applyBorder="1" applyAlignment="1">
      <alignment horizontal="left"/>
    </xf>
    <xf numFmtId="0" fontId="2" fillId="0" borderId="0" xfId="3" applyFont="1" applyBorder="1" applyAlignment="1"/>
    <xf numFmtId="0" fontId="6" fillId="0" borderId="5" xfId="3" applyFont="1" applyBorder="1"/>
    <xf numFmtId="0" fontId="3" fillId="0" borderId="1" xfId="3" applyFont="1" applyBorder="1" applyAlignment="1">
      <alignment horizontal="left"/>
    </xf>
    <xf numFmtId="0" fontId="6" fillId="0" borderId="2" xfId="3" applyFont="1" applyBorder="1"/>
    <xf numFmtId="0" fontId="6" fillId="0" borderId="3" xfId="3" applyFont="1" applyBorder="1"/>
    <xf numFmtId="0" fontId="4" fillId="0" borderId="4" xfId="3" applyFont="1" applyBorder="1" applyAlignment="1">
      <alignment horizontal="left" vertical="center" wrapText="1"/>
    </xf>
    <xf numFmtId="0" fontId="4" fillId="0" borderId="0" xfId="3" applyFont="1" applyBorder="1" applyAlignment="1">
      <alignment horizontal="left" vertical="center" wrapText="1"/>
    </xf>
    <xf numFmtId="0" fontId="4" fillId="0" borderId="5" xfId="3" applyFont="1" applyBorder="1" applyAlignment="1">
      <alignment horizontal="left" vertical="center" wrapText="1"/>
    </xf>
    <xf numFmtId="0" fontId="5" fillId="0" borderId="6" xfId="3" applyFont="1" applyBorder="1" applyAlignment="1">
      <alignment horizontal="left"/>
    </xf>
    <xf numFmtId="0" fontId="6" fillId="0" borderId="7" xfId="3" applyFont="1" applyBorder="1"/>
    <xf numFmtId="0" fontId="6" fillId="0" borderId="8" xfId="3" applyFont="1" applyBorder="1"/>
    <xf numFmtId="0" fontId="4" fillId="0" borderId="9" xfId="3" applyFont="1" applyBorder="1" applyAlignment="1">
      <alignment horizontal="left" vertical="center"/>
    </xf>
    <xf numFmtId="0" fontId="4" fillId="0" borderId="1" xfId="3" quotePrefix="1" applyFont="1" applyBorder="1" applyAlignment="1">
      <alignment horizontal="left" vertical="center" wrapText="1"/>
    </xf>
    <xf numFmtId="0" fontId="4" fillId="0" borderId="2" xfId="3" quotePrefix="1" applyFont="1" applyBorder="1" applyAlignment="1">
      <alignment horizontal="left" vertical="center" wrapText="1"/>
    </xf>
    <xf numFmtId="0" fontId="4" fillId="0" borderId="3" xfId="3" quotePrefix="1" applyFont="1" applyBorder="1" applyAlignment="1">
      <alignment horizontal="left" vertical="center" wrapText="1"/>
    </xf>
    <xf numFmtId="0" fontId="4" fillId="0" borderId="4" xfId="3" quotePrefix="1" applyFont="1" applyBorder="1" applyAlignment="1">
      <alignment horizontal="left" vertical="center" wrapText="1"/>
    </xf>
    <xf numFmtId="0" fontId="4" fillId="0" borderId="0" xfId="3" quotePrefix="1" applyFont="1" applyBorder="1" applyAlignment="1">
      <alignment horizontal="left" vertical="center" wrapText="1"/>
    </xf>
    <xf numFmtId="0" fontId="4" fillId="0" borderId="5" xfId="3" quotePrefix="1" applyFont="1" applyBorder="1" applyAlignment="1">
      <alignment horizontal="left" vertical="center" wrapText="1"/>
    </xf>
    <xf numFmtId="0" fontId="2" fillId="0" borderId="0" xfId="3" applyFont="1" applyBorder="1" applyAlignment="1">
      <alignment horizontal="left" vertical="center" wrapText="1"/>
    </xf>
    <xf numFmtId="0" fontId="6" fillId="0" borderId="5" xfId="3" applyFont="1" applyBorder="1" applyAlignment="1">
      <alignment horizontal="left" vertical="center" wrapText="1"/>
    </xf>
    <xf numFmtId="0" fontId="5" fillId="0" borderId="16" xfId="3" applyFont="1" applyBorder="1" applyAlignment="1">
      <alignment horizontal="left" vertical="center"/>
    </xf>
    <xf numFmtId="0" fontId="6" fillId="0" borderId="18" xfId="3" applyFont="1" applyBorder="1"/>
    <xf numFmtId="0" fontId="5" fillId="3" borderId="16" xfId="3" applyFont="1" applyFill="1" applyBorder="1" applyAlignment="1">
      <alignment horizontal="left" vertical="center"/>
    </xf>
    <xf numFmtId="0" fontId="9" fillId="4" borderId="20" xfId="3" applyFont="1" applyFill="1" applyBorder="1" applyAlignment="1">
      <alignment horizontal="center" vertical="center"/>
    </xf>
    <xf numFmtId="0" fontId="9" fillId="4" borderId="0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left" vertical="center" wrapText="1"/>
    </xf>
    <xf numFmtId="0" fontId="6" fillId="0" borderId="7" xfId="3" applyFont="1" applyBorder="1" applyAlignment="1">
      <alignment horizontal="left" vertical="center" wrapText="1"/>
    </xf>
    <xf numFmtId="0" fontId="6" fillId="0" borderId="8" xfId="3" applyFont="1" applyBorder="1" applyAlignment="1">
      <alignment horizontal="left" vertical="center" wrapText="1"/>
    </xf>
    <xf numFmtId="0" fontId="4" fillId="0" borderId="0" xfId="3" applyFont="1" applyAlignment="1">
      <alignment horizontal="left" vertical="center"/>
    </xf>
    <xf numFmtId="0" fontId="2" fillId="0" borderId="0" xfId="3" applyFont="1" applyAlignment="1"/>
    <xf numFmtId="0" fontId="6" fillId="0" borderId="21" xfId="3" applyFont="1" applyBorder="1"/>
    <xf numFmtId="0" fontId="6" fillId="0" borderId="22" xfId="3" applyFont="1" applyBorder="1"/>
    <xf numFmtId="0" fontId="5" fillId="0" borderId="1" xfId="3" applyFont="1" applyBorder="1" applyAlignment="1">
      <alignment horizontal="left"/>
    </xf>
    <xf numFmtId="0" fontId="5" fillId="0" borderId="2" xfId="3" applyFont="1" applyBorder="1" applyAlignment="1">
      <alignment horizontal="left"/>
    </xf>
    <xf numFmtId="0" fontId="5" fillId="0" borderId="3" xfId="3" applyFont="1" applyBorder="1" applyAlignment="1">
      <alignment horizontal="left"/>
    </xf>
    <xf numFmtId="0" fontId="5" fillId="0" borderId="0" xfId="3" applyFont="1" applyBorder="1" applyAlignment="1">
      <alignment horizontal="left"/>
    </xf>
    <xf numFmtId="0" fontId="5" fillId="0" borderId="5" xfId="3" applyFont="1" applyBorder="1" applyAlignment="1">
      <alignment horizontal="left"/>
    </xf>
    <xf numFmtId="0" fontId="5" fillId="0" borderId="7" xfId="3" applyFont="1" applyBorder="1" applyAlignment="1">
      <alignment horizontal="left"/>
    </xf>
    <xf numFmtId="0" fontId="5" fillId="0" borderId="8" xfId="3" applyFont="1" applyBorder="1" applyAlignment="1">
      <alignment horizontal="left"/>
    </xf>
    <xf numFmtId="0" fontId="2" fillId="4" borderId="1" xfId="3" applyFont="1" applyFill="1" applyBorder="1" applyAlignment="1">
      <alignment horizontal="center" vertical="center"/>
    </xf>
    <xf numFmtId="0" fontId="2" fillId="4" borderId="2" xfId="3" applyFont="1" applyFill="1" applyBorder="1" applyAlignment="1">
      <alignment horizontal="center" vertical="center"/>
    </xf>
    <xf numFmtId="0" fontId="2" fillId="4" borderId="3" xfId="3" applyFont="1" applyFill="1" applyBorder="1" applyAlignment="1">
      <alignment horizontal="center" vertical="center"/>
    </xf>
    <xf numFmtId="0" fontId="2" fillId="4" borderId="6" xfId="3" applyFont="1" applyFill="1" applyBorder="1" applyAlignment="1">
      <alignment horizontal="center" vertical="center"/>
    </xf>
    <xf numFmtId="0" fontId="2" fillId="4" borderId="7" xfId="3" applyFont="1" applyFill="1" applyBorder="1" applyAlignment="1">
      <alignment horizontal="center" vertical="center"/>
    </xf>
    <xf numFmtId="0" fontId="2" fillId="4" borderId="8" xfId="3" applyFont="1" applyFill="1" applyBorder="1" applyAlignment="1">
      <alignment horizontal="center" vertical="center"/>
    </xf>
    <xf numFmtId="0" fontId="4" fillId="0" borderId="16" xfId="3" applyFont="1" applyBorder="1" applyAlignment="1">
      <alignment horizontal="center" vertical="center"/>
    </xf>
    <xf numFmtId="0" fontId="6" fillId="0" borderId="17" xfId="3" applyFont="1" applyBorder="1"/>
    <xf numFmtId="0" fontId="5" fillId="0" borderId="1" xfId="3" applyFont="1" applyBorder="1" applyAlignment="1"/>
    <xf numFmtId="0" fontId="5" fillId="0" borderId="2" xfId="3" applyFont="1" applyBorder="1" applyAlignment="1"/>
    <xf numFmtId="0" fontId="5" fillId="0" borderId="3" xfId="3" applyFont="1" applyBorder="1" applyAlignment="1"/>
    <xf numFmtId="0" fontId="5" fillId="0" borderId="4" xfId="3" applyFont="1" applyBorder="1" applyAlignment="1"/>
    <xf numFmtId="0" fontId="5" fillId="0" borderId="0" xfId="3" applyFont="1" applyBorder="1" applyAlignment="1"/>
    <xf numFmtId="0" fontId="5" fillId="0" borderId="5" xfId="3" applyFont="1" applyBorder="1" applyAlignment="1"/>
    <xf numFmtId="0" fontId="5" fillId="0" borderId="6" xfId="3" applyFont="1" applyBorder="1" applyAlignment="1"/>
    <xf numFmtId="0" fontId="5" fillId="0" borderId="7" xfId="3" applyFont="1" applyBorder="1" applyAlignment="1"/>
    <xf numFmtId="0" fontId="5" fillId="0" borderId="8" xfId="3" applyFont="1" applyBorder="1" applyAlignment="1"/>
    <xf numFmtId="0" fontId="2" fillId="0" borderId="9" xfId="3" applyFont="1" applyBorder="1" applyAlignment="1">
      <alignment horizontal="left" vertical="center"/>
    </xf>
    <xf numFmtId="0" fontId="2" fillId="0" borderId="6" xfId="3" applyFont="1" applyBorder="1" applyAlignment="1">
      <alignment horizontal="center"/>
    </xf>
    <xf numFmtId="0" fontId="2" fillId="0" borderId="7" xfId="3" applyFont="1" applyBorder="1" applyAlignment="1">
      <alignment horizontal="center"/>
    </xf>
    <xf numFmtId="0" fontId="2" fillId="0" borderId="8" xfId="3" applyFont="1" applyBorder="1" applyAlignment="1">
      <alignment horizontal="center"/>
    </xf>
    <xf numFmtId="9" fontId="8" fillId="0" borderId="4" xfId="3" quotePrefix="1" applyNumberFormat="1" applyFont="1" applyBorder="1" applyAlignment="1">
      <alignment horizontal="left" vertical="center"/>
    </xf>
    <xf numFmtId="0" fontId="8" fillId="0" borderId="0" xfId="3" quotePrefix="1" applyFont="1" applyBorder="1" applyAlignment="1">
      <alignment horizontal="left" vertical="center"/>
    </xf>
    <xf numFmtId="0" fontId="8" fillId="0" borderId="5" xfId="3" quotePrefix="1" applyFont="1" applyBorder="1" applyAlignment="1">
      <alignment horizontal="left" vertical="center"/>
    </xf>
    <xf numFmtId="0" fontId="2" fillId="0" borderId="0" xfId="3" applyFont="1" applyBorder="1" applyAlignment="1">
      <alignment horizontal="left"/>
    </xf>
    <xf numFmtId="0" fontId="5" fillId="3" borderId="9" xfId="3" applyFont="1" applyFill="1" applyBorder="1" applyAlignment="1">
      <alignment horizontal="left" vertical="center"/>
    </xf>
    <xf numFmtId="0" fontId="6" fillId="0" borderId="9" xfId="3" applyFont="1" applyBorder="1"/>
    <xf numFmtId="0" fontId="5" fillId="0" borderId="9" xfId="3" applyFont="1" applyBorder="1" applyAlignment="1">
      <alignment horizontal="left" vertical="center"/>
    </xf>
    <xf numFmtId="0" fontId="2" fillId="0" borderId="1" xfId="3" applyFont="1" applyBorder="1" applyAlignment="1">
      <alignment horizontal="left" vertical="center" wrapText="1"/>
    </xf>
    <xf numFmtId="0" fontId="2" fillId="0" borderId="2" xfId="3" applyFont="1" applyBorder="1" applyAlignment="1">
      <alignment horizontal="left" vertical="center" wrapText="1"/>
    </xf>
    <xf numFmtId="0" fontId="2" fillId="0" borderId="3" xfId="3" applyFont="1" applyBorder="1" applyAlignment="1">
      <alignment horizontal="left" vertical="center" wrapText="1"/>
    </xf>
    <xf numFmtId="0" fontId="2" fillId="0" borderId="4" xfId="3" applyFont="1" applyBorder="1" applyAlignment="1">
      <alignment horizontal="left" vertical="center" wrapText="1"/>
    </xf>
    <xf numFmtId="0" fontId="2" fillId="0" borderId="5" xfId="3" applyFont="1" applyBorder="1" applyAlignment="1">
      <alignment horizontal="left" vertical="center" wrapText="1"/>
    </xf>
    <xf numFmtId="0" fontId="2" fillId="0" borderId="6" xfId="3" applyFont="1" applyBorder="1" applyAlignment="1">
      <alignment horizontal="left" vertical="center" wrapText="1"/>
    </xf>
    <xf numFmtId="0" fontId="2" fillId="0" borderId="7" xfId="3" applyFont="1" applyBorder="1" applyAlignment="1">
      <alignment horizontal="left" vertical="center" wrapText="1"/>
    </xf>
    <xf numFmtId="0" fontId="2" fillId="0" borderId="8" xfId="3" applyFont="1" applyBorder="1" applyAlignment="1">
      <alignment horizontal="left" vertical="center" wrapText="1"/>
    </xf>
    <xf numFmtId="0" fontId="8" fillId="0" borderId="4" xfId="3" quotePrefix="1" applyFont="1" applyBorder="1" applyAlignment="1">
      <alignment horizontal="left" vertical="center"/>
    </xf>
  </cellXfs>
  <cellStyles count="4">
    <cellStyle name="Milliers [0]" xfId="1" builtinId="6"/>
    <cellStyle name="Normal" xfId="0" builtinId="0"/>
    <cellStyle name="Normal 2" xfId="3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12</xdr:col>
          <xdr:colOff>9525</xdr:colOff>
          <xdr:row>3</xdr:row>
          <xdr:rowOff>0</xdr:rowOff>
        </xdr:to>
        <xdr:sp macro="" textlink="">
          <xdr:nvSpPr>
            <xdr:cNvPr id="2049" name="Button 1" descr="Lancer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23811</xdr:colOff>
      <xdr:row>0</xdr:row>
      <xdr:rowOff>35720</xdr:rowOff>
    </xdr:from>
    <xdr:to>
      <xdr:col>2</xdr:col>
      <xdr:colOff>943941</xdr:colOff>
      <xdr:row>3</xdr:row>
      <xdr:rowOff>191583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1" y="35720"/>
          <a:ext cx="2348880" cy="9334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23811</xdr:colOff>
      <xdr:row>0</xdr:row>
      <xdr:rowOff>35720</xdr:rowOff>
    </xdr:from>
    <xdr:to>
      <xdr:col>2</xdr:col>
      <xdr:colOff>943941</xdr:colOff>
      <xdr:row>3</xdr:row>
      <xdr:rowOff>185398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1" y="35720"/>
          <a:ext cx="2348880" cy="9334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23811</xdr:colOff>
      <xdr:row>0</xdr:row>
      <xdr:rowOff>35720</xdr:rowOff>
    </xdr:from>
    <xdr:to>
      <xdr:col>2</xdr:col>
      <xdr:colOff>943941</xdr:colOff>
      <xdr:row>3</xdr:row>
      <xdr:rowOff>191583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1" y="35720"/>
          <a:ext cx="2348880" cy="9369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23811</xdr:colOff>
      <xdr:row>0</xdr:row>
      <xdr:rowOff>35720</xdr:rowOff>
    </xdr:from>
    <xdr:to>
      <xdr:col>2</xdr:col>
      <xdr:colOff>943941</xdr:colOff>
      <xdr:row>3</xdr:row>
      <xdr:rowOff>185398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1" y="35720"/>
          <a:ext cx="2348880" cy="9307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L47"/>
  <sheetViews>
    <sheetView zoomScale="85" zoomScaleNormal="85" workbookViewId="0">
      <selection activeCell="F15" sqref="F15"/>
    </sheetView>
  </sheetViews>
  <sheetFormatPr baseColWidth="10" defaultRowHeight="15" x14ac:dyDescent="0.25"/>
  <cols>
    <col min="1" max="1" width="21.85546875" bestFit="1" customWidth="1"/>
    <col min="3" max="3" width="12.42578125" bestFit="1" customWidth="1"/>
    <col min="6" max="6" width="14.42578125" bestFit="1" customWidth="1"/>
    <col min="8" max="8" width="21.85546875" bestFit="1" customWidth="1"/>
    <col min="10" max="10" width="12.42578125" bestFit="1" customWidth="1"/>
  </cols>
  <sheetData>
    <row r="1" spans="1:10" x14ac:dyDescent="0.25">
      <c r="A1" s="88" t="s">
        <v>42</v>
      </c>
      <c r="B1" s="88"/>
      <c r="C1" s="88"/>
      <c r="H1" s="88" t="s">
        <v>49</v>
      </c>
      <c r="I1" s="88"/>
      <c r="J1" s="88"/>
    </row>
    <row r="2" spans="1:10" x14ac:dyDescent="0.25">
      <c r="A2" t="s">
        <v>38</v>
      </c>
      <c r="H2" t="s">
        <v>40</v>
      </c>
    </row>
    <row r="3" spans="1:10" x14ac:dyDescent="0.25">
      <c r="A3" t="s">
        <v>26</v>
      </c>
      <c r="H3" t="s">
        <v>26</v>
      </c>
    </row>
    <row r="4" spans="1:10" x14ac:dyDescent="0.25">
      <c r="A4" t="s">
        <v>27</v>
      </c>
      <c r="H4" t="s">
        <v>51</v>
      </c>
    </row>
    <row r="5" spans="1:10" x14ac:dyDescent="0.25">
      <c r="A5" t="s">
        <v>28</v>
      </c>
      <c r="H5" t="s">
        <v>50</v>
      </c>
    </row>
    <row r="7" spans="1:10" x14ac:dyDescent="0.25">
      <c r="A7" s="88" t="s">
        <v>43</v>
      </c>
      <c r="B7" s="88"/>
      <c r="C7" s="88"/>
      <c r="H7" s="88" t="s">
        <v>43</v>
      </c>
      <c r="I7" s="88"/>
      <c r="J7" s="88"/>
    </row>
    <row r="8" spans="1:10" x14ac:dyDescent="0.25">
      <c r="A8" t="s">
        <v>2</v>
      </c>
      <c r="H8" t="s">
        <v>2</v>
      </c>
    </row>
    <row r="9" spans="1:10" x14ac:dyDescent="0.25">
      <c r="A9" t="s">
        <v>29</v>
      </c>
      <c r="H9" t="s">
        <v>29</v>
      </c>
    </row>
    <row r="10" spans="1:10" x14ac:dyDescent="0.25">
      <c r="A10" t="s">
        <v>30</v>
      </c>
      <c r="H10" t="s">
        <v>30</v>
      </c>
    </row>
    <row r="11" spans="1:10" x14ac:dyDescent="0.25">
      <c r="A11" t="s">
        <v>31</v>
      </c>
      <c r="H11" t="s">
        <v>31</v>
      </c>
    </row>
    <row r="12" spans="1:10" x14ac:dyDescent="0.25">
      <c r="A12" t="s">
        <v>44</v>
      </c>
      <c r="H12" t="s">
        <v>44</v>
      </c>
    </row>
    <row r="13" spans="1:10" x14ac:dyDescent="0.25">
      <c r="A13" t="s">
        <v>45</v>
      </c>
      <c r="H13" t="s">
        <v>45</v>
      </c>
    </row>
    <row r="14" spans="1:10" x14ac:dyDescent="0.25">
      <c r="A14" t="s">
        <v>46</v>
      </c>
      <c r="H14" t="s">
        <v>46</v>
      </c>
    </row>
    <row r="16" spans="1:10" x14ac:dyDescent="0.25">
      <c r="A16" s="88" t="s">
        <v>47</v>
      </c>
      <c r="B16" s="88"/>
      <c r="C16" s="88"/>
      <c r="H16" s="88" t="s">
        <v>47</v>
      </c>
      <c r="I16" s="88"/>
      <c r="J16" s="88"/>
    </row>
    <row r="17" spans="1:12" x14ac:dyDescent="0.25">
      <c r="A17" t="s">
        <v>32</v>
      </c>
      <c r="H17" t="s">
        <v>32</v>
      </c>
    </row>
    <row r="18" spans="1:12" x14ac:dyDescent="0.25">
      <c r="A18" t="s">
        <v>39</v>
      </c>
      <c r="H18" t="s">
        <v>39</v>
      </c>
    </row>
    <row r="19" spans="1:12" x14ac:dyDescent="0.25">
      <c r="A19" t="s">
        <v>41</v>
      </c>
      <c r="H19" t="s">
        <v>41</v>
      </c>
    </row>
    <row r="21" spans="1:12" x14ac:dyDescent="0.25">
      <c r="A21" s="88" t="s">
        <v>48</v>
      </c>
      <c r="B21" s="88"/>
      <c r="C21" s="88"/>
      <c r="H21" s="88" t="s">
        <v>48</v>
      </c>
      <c r="I21" s="88"/>
      <c r="J21" s="88"/>
    </row>
    <row r="22" spans="1:12" x14ac:dyDescent="0.25">
      <c r="A22" t="s">
        <v>33</v>
      </c>
      <c r="H22" t="s">
        <v>33</v>
      </c>
    </row>
    <row r="23" spans="1:12" x14ac:dyDescent="0.25">
      <c r="E23" s="75"/>
      <c r="H23" s="73">
        <f>+F23*G23</f>
        <v>0</v>
      </c>
    </row>
    <row r="24" spans="1:12" x14ac:dyDescent="0.25">
      <c r="E24" s="75"/>
    </row>
    <row r="25" spans="1:12" x14ac:dyDescent="0.25">
      <c r="A25" s="88" t="s">
        <v>52</v>
      </c>
      <c r="B25" s="88"/>
      <c r="C25" s="88"/>
      <c r="D25" s="88"/>
      <c r="E25" s="89"/>
      <c r="G25" s="73">
        <f>+F25*L5</f>
        <v>0</v>
      </c>
      <c r="H25" s="88" t="s">
        <v>52</v>
      </c>
      <c r="I25" s="88"/>
      <c r="J25" s="88"/>
      <c r="K25" s="88"/>
      <c r="L25" s="88"/>
    </row>
    <row r="26" spans="1:12" x14ac:dyDescent="0.25">
      <c r="A26" t="s">
        <v>53</v>
      </c>
      <c r="B26" t="s">
        <v>12</v>
      </c>
      <c r="C26" t="s">
        <v>54</v>
      </c>
      <c r="D26" t="s">
        <v>55</v>
      </c>
      <c r="E26" s="75" t="s">
        <v>56</v>
      </c>
      <c r="G26" s="73"/>
      <c r="H26" t="s">
        <v>53</v>
      </c>
      <c r="I26" t="s">
        <v>12</v>
      </c>
      <c r="J26" t="s">
        <v>54</v>
      </c>
      <c r="K26" t="s">
        <v>55</v>
      </c>
      <c r="L26" t="s">
        <v>56</v>
      </c>
    </row>
    <row r="27" spans="1:12" x14ac:dyDescent="0.25">
      <c r="E27" s="75"/>
      <c r="G27" s="73"/>
    </row>
    <row r="28" spans="1:12" x14ac:dyDescent="0.25">
      <c r="E28" s="75"/>
      <c r="G28" s="73"/>
    </row>
    <row r="29" spans="1:12" x14ac:dyDescent="0.25">
      <c r="E29" s="75"/>
      <c r="G29" s="73">
        <f>+F25*L5</f>
        <v>0</v>
      </c>
    </row>
    <row r="30" spans="1:12" x14ac:dyDescent="0.25">
      <c r="E30" s="75"/>
      <c r="G30" s="73">
        <f>F25*L5</f>
        <v>0</v>
      </c>
    </row>
    <row r="31" spans="1:12" x14ac:dyDescent="0.25">
      <c r="E31" s="75"/>
      <c r="G31" s="73"/>
    </row>
    <row r="32" spans="1:12" x14ac:dyDescent="0.25">
      <c r="E32" s="75"/>
      <c r="G32" s="73"/>
    </row>
    <row r="33" spans="5:7" x14ac:dyDescent="0.25">
      <c r="E33" s="75"/>
      <c r="G33" s="73"/>
    </row>
    <row r="34" spans="5:7" x14ac:dyDescent="0.25">
      <c r="E34" s="75"/>
      <c r="G34" s="73"/>
    </row>
    <row r="35" spans="5:7" x14ac:dyDescent="0.25">
      <c r="E35" s="75"/>
      <c r="G35" s="73"/>
    </row>
    <row r="36" spans="5:7" x14ac:dyDescent="0.25">
      <c r="E36" s="75"/>
      <c r="G36" s="73"/>
    </row>
    <row r="37" spans="5:7" x14ac:dyDescent="0.25">
      <c r="E37" s="75"/>
      <c r="G37" s="73"/>
    </row>
    <row r="38" spans="5:7" x14ac:dyDescent="0.25">
      <c r="E38" s="75"/>
      <c r="G38" s="73"/>
    </row>
    <row r="39" spans="5:7" x14ac:dyDescent="0.25">
      <c r="E39" s="75"/>
      <c r="G39" s="73"/>
    </row>
    <row r="40" spans="5:7" x14ac:dyDescent="0.25">
      <c r="E40" s="75"/>
      <c r="G40" s="73"/>
    </row>
    <row r="41" spans="5:7" x14ac:dyDescent="0.25">
      <c r="E41" s="75"/>
      <c r="G41" s="73"/>
    </row>
    <row r="42" spans="5:7" x14ac:dyDescent="0.25">
      <c r="E42" s="75"/>
      <c r="G42" s="73"/>
    </row>
    <row r="43" spans="5:7" x14ac:dyDescent="0.25">
      <c r="E43" s="75"/>
      <c r="G43" s="73"/>
    </row>
    <row r="44" spans="5:7" x14ac:dyDescent="0.25">
      <c r="E44" s="75"/>
      <c r="G44" s="73"/>
    </row>
    <row r="45" spans="5:7" x14ac:dyDescent="0.25">
      <c r="E45" s="75"/>
      <c r="G45" s="73"/>
    </row>
    <row r="46" spans="5:7" x14ac:dyDescent="0.25">
      <c r="G46" s="73"/>
    </row>
    <row r="47" spans="5:7" x14ac:dyDescent="0.25">
      <c r="G47" s="73"/>
    </row>
  </sheetData>
  <mergeCells count="10">
    <mergeCell ref="A25:E25"/>
    <mergeCell ref="H25:L25"/>
    <mergeCell ref="H1:J1"/>
    <mergeCell ref="H7:J7"/>
    <mergeCell ref="H16:J16"/>
    <mergeCell ref="H21:J21"/>
    <mergeCell ref="A1:C1"/>
    <mergeCell ref="A7:C7"/>
    <mergeCell ref="A16:C16"/>
    <mergeCell ref="A21:C21"/>
  </mergeCell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uton1_Cliquer" altText="Lancer_x000a_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12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U2"/>
  <sheetViews>
    <sheetView workbookViewId="0">
      <selection activeCell="A3" sqref="A3:XFD8"/>
    </sheetView>
  </sheetViews>
  <sheetFormatPr baseColWidth="10" defaultRowHeight="15" x14ac:dyDescent="0.25"/>
  <cols>
    <col min="2" max="2" width="11.42578125" style="73"/>
    <col min="4" max="4" width="17.42578125" bestFit="1" customWidth="1"/>
    <col min="5" max="5" width="16.7109375" bestFit="1" customWidth="1"/>
    <col min="13" max="13" width="15.28515625" bestFit="1" customWidth="1"/>
    <col min="16" max="16" width="21.85546875" bestFit="1" customWidth="1"/>
    <col min="17" max="17" width="17.7109375" bestFit="1" customWidth="1"/>
    <col min="18" max="18" width="13.7109375" bestFit="1" customWidth="1"/>
    <col min="20" max="20" width="17.7109375" bestFit="1" customWidth="1"/>
    <col min="21" max="21" width="14.5703125" bestFit="1" customWidth="1"/>
  </cols>
  <sheetData>
    <row r="1" spans="1:21" x14ac:dyDescent="0.25">
      <c r="A1" t="s">
        <v>38</v>
      </c>
      <c r="B1" s="73" t="s">
        <v>26</v>
      </c>
      <c r="C1" t="s">
        <v>27</v>
      </c>
      <c r="D1" t="s">
        <v>28</v>
      </c>
      <c r="E1" t="s">
        <v>2</v>
      </c>
      <c r="F1" t="s">
        <v>29</v>
      </c>
      <c r="G1" t="s">
        <v>30</v>
      </c>
      <c r="H1" t="s">
        <v>31</v>
      </c>
      <c r="I1" t="s">
        <v>44</v>
      </c>
      <c r="J1" t="s">
        <v>45</v>
      </c>
      <c r="K1" t="s">
        <v>46</v>
      </c>
      <c r="L1" t="s">
        <v>32</v>
      </c>
      <c r="M1" t="s">
        <v>39</v>
      </c>
      <c r="N1" t="s">
        <v>41</v>
      </c>
      <c r="O1" t="s">
        <v>33</v>
      </c>
      <c r="P1" t="s">
        <v>34</v>
      </c>
      <c r="Q1" t="s">
        <v>60</v>
      </c>
      <c r="R1" t="s">
        <v>61</v>
      </c>
      <c r="S1" t="s">
        <v>12</v>
      </c>
      <c r="T1" t="s">
        <v>62</v>
      </c>
      <c r="U1" t="s">
        <v>63</v>
      </c>
    </row>
    <row r="2" spans="1:21" x14ac:dyDescent="0.25">
      <c r="B2" s="73">
        <v>64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U5"/>
  <sheetViews>
    <sheetView workbookViewId="0">
      <selection activeCell="C7" sqref="C7"/>
    </sheetView>
  </sheetViews>
  <sheetFormatPr baseColWidth="10" defaultRowHeight="15" x14ac:dyDescent="0.25"/>
  <cols>
    <col min="3" max="3" width="15.28515625" bestFit="1" customWidth="1"/>
    <col min="4" max="4" width="17.42578125" bestFit="1" customWidth="1"/>
    <col min="13" max="13" width="15.28515625" bestFit="1" customWidth="1"/>
    <col min="16" max="16" width="21.85546875" bestFit="1" customWidth="1"/>
    <col min="17" max="17" width="17.7109375" bestFit="1" customWidth="1"/>
    <col min="18" max="18" width="13.7109375" bestFit="1" customWidth="1"/>
    <col min="20" max="20" width="18.5703125" bestFit="1" customWidth="1"/>
  </cols>
  <sheetData>
    <row r="1" spans="1:21" x14ac:dyDescent="0.25">
      <c r="A1" t="s">
        <v>57</v>
      </c>
      <c r="B1" t="s">
        <v>26</v>
      </c>
      <c r="C1" t="s">
        <v>58</v>
      </c>
      <c r="D1" t="s">
        <v>59</v>
      </c>
      <c r="E1" t="s">
        <v>2</v>
      </c>
      <c r="F1" t="s">
        <v>29</v>
      </c>
      <c r="G1" t="s">
        <v>30</v>
      </c>
      <c r="H1" t="s">
        <v>31</v>
      </c>
      <c r="I1" t="s">
        <v>44</v>
      </c>
      <c r="J1" t="s">
        <v>45</v>
      </c>
      <c r="K1" t="s">
        <v>46</v>
      </c>
      <c r="L1" t="s">
        <v>32</v>
      </c>
      <c r="M1" t="s">
        <v>39</v>
      </c>
      <c r="N1" t="s">
        <v>41</v>
      </c>
      <c r="O1" t="s">
        <v>33</v>
      </c>
      <c r="P1" t="s">
        <v>34</v>
      </c>
      <c r="Q1" t="s">
        <v>60</v>
      </c>
      <c r="R1" t="s">
        <v>61</v>
      </c>
      <c r="S1" t="s">
        <v>12</v>
      </c>
      <c r="T1" t="s">
        <v>62</v>
      </c>
      <c r="U1" t="s">
        <v>63</v>
      </c>
    </row>
    <row r="2" spans="1:21" x14ac:dyDescent="0.25">
      <c r="B2" s="73">
        <v>99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</row>
    <row r="3" spans="1:21" x14ac:dyDescent="0.25">
      <c r="B3">
        <v>100</v>
      </c>
      <c r="C3" t="s">
        <v>86</v>
      </c>
      <c r="D3" t="s">
        <v>71</v>
      </c>
      <c r="E3" t="s">
        <v>87</v>
      </c>
      <c r="F3" t="s">
        <v>88</v>
      </c>
      <c r="G3" t="s">
        <v>74</v>
      </c>
      <c r="H3" t="s">
        <v>6</v>
      </c>
      <c r="R3">
        <v>600000</v>
      </c>
      <c r="S3">
        <v>0</v>
      </c>
      <c r="U3">
        <v>600000</v>
      </c>
    </row>
    <row r="4" spans="1:21" x14ac:dyDescent="0.25">
      <c r="B4">
        <v>101</v>
      </c>
      <c r="C4" t="s">
        <v>71</v>
      </c>
      <c r="D4" t="s">
        <v>71</v>
      </c>
      <c r="E4" t="s">
        <v>89</v>
      </c>
      <c r="F4" t="s">
        <v>90</v>
      </c>
      <c r="G4" t="s">
        <v>74</v>
      </c>
      <c r="H4" t="s">
        <v>6</v>
      </c>
      <c r="R4">
        <v>600000</v>
      </c>
      <c r="S4">
        <v>0</v>
      </c>
      <c r="U4">
        <v>600000</v>
      </c>
    </row>
    <row r="5" spans="1:21" x14ac:dyDescent="0.25">
      <c r="B5">
        <v>102</v>
      </c>
      <c r="C5" t="s">
        <v>91</v>
      </c>
      <c r="D5" t="s">
        <v>91</v>
      </c>
      <c r="E5" t="s">
        <v>92</v>
      </c>
      <c r="F5" t="s">
        <v>93</v>
      </c>
      <c r="G5" t="s">
        <v>74</v>
      </c>
      <c r="H5" t="s">
        <v>6</v>
      </c>
      <c r="R5">
        <v>600000</v>
      </c>
      <c r="S5">
        <v>0</v>
      </c>
      <c r="U5">
        <v>600000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X1008"/>
  <sheetViews>
    <sheetView view="pageBreakPreview" topLeftCell="A44" zoomScaleNormal="100" zoomScaleSheetLayoutView="100" workbookViewId="0">
      <selection activeCell="F19" sqref="F19"/>
    </sheetView>
  </sheetViews>
  <sheetFormatPr baseColWidth="10" defaultColWidth="14.42578125" defaultRowHeight="15" customHeight="1" x14ac:dyDescent="0.2"/>
  <cols>
    <col min="1" max="2" width="10.7109375" style="1" customWidth="1"/>
    <col min="3" max="3" width="29.28515625" style="1" customWidth="1"/>
    <col min="4" max="4" width="6.42578125" style="1" customWidth="1"/>
    <col min="5" max="5" width="11.42578125" style="1" customWidth="1"/>
    <col min="6" max="6" width="24.7109375" style="1" customWidth="1"/>
    <col min="7" max="7" width="10.7109375" style="1" customWidth="1"/>
    <col min="8" max="8" width="41.7109375" style="1" customWidth="1"/>
    <col min="9" max="24" width="10.7109375" style="1" customWidth="1"/>
    <col min="25" max="16384" width="14.42578125" style="1"/>
  </cols>
  <sheetData>
    <row r="1" spans="1:24" ht="15" customHeight="1" x14ac:dyDescent="0.2">
      <c r="H1" s="52"/>
      <c r="I1" s="52"/>
      <c r="J1" s="62">
        <v>67</v>
      </c>
    </row>
    <row r="2" spans="1:24" ht="23.25" x14ac:dyDescent="0.35">
      <c r="F2" s="3"/>
      <c r="G2" s="63" t="s">
        <v>0</v>
      </c>
      <c r="H2" s="52"/>
      <c r="I2" s="52"/>
      <c r="J2" s="53" t="s">
        <v>64</v>
      </c>
    </row>
    <row r="3" spans="1:24" ht="23.25" x14ac:dyDescent="0.35">
      <c r="G3" s="63" t="str">
        <f>CONCATENATE("Ref : 2020 - 00",J1)</f>
        <v>Ref : 2020 - 0067</v>
      </c>
      <c r="J3" s="53" t="s">
        <v>71</v>
      </c>
    </row>
    <row r="4" spans="1:24" ht="23.25" x14ac:dyDescent="0.35">
      <c r="G4" s="64" t="str">
        <f>CONCATENATE("Date : ",TEXT(J2,"dd/mm/yyyy"))</f>
        <v>Date : 21/10/2020</v>
      </c>
      <c r="J4" s="54" t="s">
        <v>35</v>
      </c>
    </row>
    <row r="5" spans="1:24" ht="23.25" x14ac:dyDescent="0.35">
      <c r="G5" s="64" t="str">
        <f>CONCATENATE("Date de fin de validité : ",TEXT(J3,"dd/mm/yyyy"))</f>
        <v>Date de fin de validité : 26/10/2020</v>
      </c>
      <c r="J5" s="55">
        <v>4500</v>
      </c>
    </row>
    <row r="6" spans="1:24" x14ac:dyDescent="0.25">
      <c r="E6" s="4"/>
      <c r="J6" s="69">
        <v>0.2</v>
      </c>
    </row>
    <row r="9" spans="1:24" x14ac:dyDescent="0.25">
      <c r="A9" s="4" t="s">
        <v>1</v>
      </c>
      <c r="E9" s="4" t="s">
        <v>2</v>
      </c>
    </row>
    <row r="10" spans="1:24" ht="5.25" customHeight="1" x14ac:dyDescent="0.2"/>
    <row r="11" spans="1:24" ht="21" x14ac:dyDescent="0.35">
      <c r="A11" s="5" t="s">
        <v>3</v>
      </c>
      <c r="B11" s="6"/>
      <c r="C11" s="7"/>
      <c r="D11" s="2"/>
      <c r="E11" s="93" t="s">
        <v>72</v>
      </c>
      <c r="F11" s="94"/>
      <c r="G11" s="94"/>
      <c r="H11" s="95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</row>
    <row r="12" spans="1:24" x14ac:dyDescent="0.25">
      <c r="A12" s="8" t="s">
        <v>4</v>
      </c>
      <c r="B12" s="9"/>
      <c r="C12" s="10"/>
      <c r="D12" s="4"/>
      <c r="E12" s="90" t="s">
        <v>73</v>
      </c>
      <c r="F12" s="91"/>
      <c r="G12" s="91"/>
      <c r="H12" s="92"/>
    </row>
    <row r="13" spans="1:24" x14ac:dyDescent="0.25">
      <c r="A13" s="8" t="s">
        <v>5</v>
      </c>
      <c r="B13" s="9"/>
      <c r="C13" s="10"/>
      <c r="D13" s="4"/>
      <c r="E13" s="90" t="s">
        <v>74</v>
      </c>
      <c r="F13" s="91"/>
      <c r="G13" s="91"/>
      <c r="H13" s="92"/>
    </row>
    <row r="14" spans="1:24" x14ac:dyDescent="0.25">
      <c r="A14" s="8" t="s">
        <v>6</v>
      </c>
      <c r="B14" s="9"/>
      <c r="C14" s="10"/>
      <c r="D14" s="4"/>
      <c r="E14" s="90" t="s">
        <v>6</v>
      </c>
      <c r="F14" s="91"/>
      <c r="G14" s="91"/>
      <c r="H14" s="92"/>
    </row>
    <row r="15" spans="1:24" x14ac:dyDescent="0.25">
      <c r="A15" s="8"/>
      <c r="B15" s="9"/>
      <c r="C15" s="10"/>
      <c r="D15" s="4"/>
      <c r="E15" s="90"/>
      <c r="F15" s="91"/>
      <c r="G15" s="91"/>
      <c r="H15" s="92"/>
    </row>
    <row r="16" spans="1:24" x14ac:dyDescent="0.25">
      <c r="A16" s="8" t="s">
        <v>7</v>
      </c>
      <c r="B16" s="9"/>
      <c r="C16" s="10"/>
      <c r="D16" s="4"/>
      <c r="E16" s="90"/>
      <c r="F16" s="91"/>
      <c r="G16" s="91"/>
      <c r="H16" s="92"/>
    </row>
    <row r="17" spans="1:24" x14ac:dyDescent="0.25">
      <c r="A17" s="8" t="s">
        <v>8</v>
      </c>
      <c r="B17" s="9"/>
      <c r="C17" s="10"/>
      <c r="D17" s="4"/>
      <c r="E17" s="90"/>
      <c r="F17" s="91"/>
      <c r="G17" s="91"/>
      <c r="H17" s="92"/>
    </row>
    <row r="18" spans="1:24" x14ac:dyDescent="0.25">
      <c r="A18" s="11" t="s">
        <v>9</v>
      </c>
      <c r="B18" s="12"/>
      <c r="C18" s="13"/>
      <c r="D18" s="4"/>
      <c r="E18" s="99"/>
      <c r="F18" s="100"/>
      <c r="G18" s="100"/>
      <c r="H18" s="101"/>
    </row>
    <row r="21" spans="1:24" ht="14.25" x14ac:dyDescent="0.2"/>
    <row r="22" spans="1:24" ht="38.25" customHeight="1" x14ac:dyDescent="0.2">
      <c r="A22" s="102" t="s">
        <v>11</v>
      </c>
      <c r="B22" s="102"/>
      <c r="C22" s="102"/>
      <c r="D22" s="102"/>
      <c r="E22" s="14" t="s">
        <v>12</v>
      </c>
      <c r="F22" s="14" t="s">
        <v>13</v>
      </c>
      <c r="G22" s="15" t="s">
        <v>37</v>
      </c>
      <c r="H22" s="14" t="s">
        <v>14</v>
      </c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</row>
    <row r="23" spans="1:24" ht="29.25" customHeight="1" x14ac:dyDescent="0.2">
      <c r="A23" s="103" t="s">
        <v>75</v>
      </c>
      <c r="B23" s="104"/>
      <c r="C23" s="104"/>
      <c r="D23" s="105"/>
      <c r="E23" s="66">
        <v>0.2</v>
      </c>
      <c r="F23" s="18">
        <v>3600000</v>
      </c>
      <c r="G23" s="19">
        <v>2</v>
      </c>
      <c r="H23" s="20">
        <f>+F23*G23</f>
        <v>7200000</v>
      </c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</row>
    <row r="24" spans="1:24" ht="29.25" customHeight="1" x14ac:dyDescent="0.2">
      <c r="A24" s="106"/>
      <c r="B24" s="107"/>
      <c r="C24" s="107"/>
      <c r="D24" s="108"/>
      <c r="E24" s="17"/>
      <c r="F24" s="18"/>
      <c r="G24" s="19"/>
      <c r="H24" s="20">
        <f t="shared" ref="H24:H45" si="0">+F24*G24</f>
        <v>0</v>
      </c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</row>
    <row r="25" spans="1:24" ht="29.25" customHeight="1" x14ac:dyDescent="0.2">
      <c r="A25" s="106"/>
      <c r="B25" s="107"/>
      <c r="C25" s="107"/>
      <c r="D25" s="108"/>
      <c r="E25" s="17"/>
      <c r="F25" s="18"/>
      <c r="G25" s="19"/>
      <c r="H25" s="20">
        <f t="shared" si="0"/>
        <v>0</v>
      </c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</row>
    <row r="26" spans="1:24" ht="29.25" customHeight="1" x14ac:dyDescent="0.2">
      <c r="A26" s="106"/>
      <c r="B26" s="107"/>
      <c r="C26" s="107"/>
      <c r="D26" s="108"/>
      <c r="E26" s="17"/>
      <c r="F26" s="18"/>
      <c r="G26" s="19"/>
      <c r="H26" s="20">
        <f t="shared" si="0"/>
        <v>0</v>
      </c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</row>
    <row r="27" spans="1:24" ht="29.25" customHeight="1" x14ac:dyDescent="0.2">
      <c r="A27" s="106"/>
      <c r="B27" s="107"/>
      <c r="C27" s="107"/>
      <c r="D27" s="108"/>
      <c r="E27" s="17"/>
      <c r="F27" s="18"/>
      <c r="G27" s="19"/>
      <c r="H27" s="20">
        <f t="shared" si="0"/>
        <v>0</v>
      </c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</row>
    <row r="28" spans="1:24" ht="29.25" customHeight="1" x14ac:dyDescent="0.2">
      <c r="A28" s="106"/>
      <c r="B28" s="107"/>
      <c r="C28" s="107"/>
      <c r="D28" s="108"/>
      <c r="E28" s="17"/>
      <c r="F28" s="18"/>
      <c r="G28" s="19"/>
      <c r="H28" s="20">
        <f t="shared" si="0"/>
        <v>0</v>
      </c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</row>
    <row r="29" spans="1:24" ht="29.25" customHeight="1" x14ac:dyDescent="0.2">
      <c r="A29" s="96"/>
      <c r="B29" s="97"/>
      <c r="C29" s="97"/>
      <c r="D29" s="98"/>
      <c r="E29" s="22"/>
      <c r="F29" s="23"/>
      <c r="G29" s="19"/>
      <c r="H29" s="20">
        <f t="shared" si="0"/>
        <v>0</v>
      </c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</row>
    <row r="30" spans="1:24" ht="29.25" customHeight="1" x14ac:dyDescent="0.2">
      <c r="A30" s="96"/>
      <c r="B30" s="97"/>
      <c r="C30" s="97"/>
      <c r="D30" s="98"/>
      <c r="E30" s="22"/>
      <c r="F30" s="23"/>
      <c r="G30" s="19"/>
      <c r="H30" s="20">
        <f t="shared" si="0"/>
        <v>0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</row>
    <row r="31" spans="1:24" ht="29.25" customHeight="1" x14ac:dyDescent="0.2">
      <c r="A31" s="96"/>
      <c r="B31" s="97"/>
      <c r="C31" s="97"/>
      <c r="D31" s="98"/>
      <c r="E31" s="22"/>
      <c r="F31" s="23"/>
      <c r="G31" s="19"/>
      <c r="H31" s="20">
        <f t="shared" si="0"/>
        <v>0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</row>
    <row r="32" spans="1:24" ht="29.25" customHeight="1" x14ac:dyDescent="0.2">
      <c r="A32" s="96"/>
      <c r="B32" s="97"/>
      <c r="C32" s="97"/>
      <c r="D32" s="98"/>
      <c r="E32" s="22"/>
      <c r="F32" s="23"/>
      <c r="G32" s="19"/>
      <c r="H32" s="20">
        <f t="shared" si="0"/>
        <v>0</v>
      </c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</row>
    <row r="33" spans="1:24" ht="29.25" customHeight="1" x14ac:dyDescent="0.2">
      <c r="A33" s="96"/>
      <c r="B33" s="97"/>
      <c r="C33" s="97"/>
      <c r="D33" s="98"/>
      <c r="E33" s="22"/>
      <c r="F33" s="23"/>
      <c r="G33" s="19"/>
      <c r="H33" s="20">
        <f t="shared" si="0"/>
        <v>0</v>
      </c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</row>
    <row r="34" spans="1:24" ht="29.25" customHeight="1" x14ac:dyDescent="0.2">
      <c r="A34" s="96"/>
      <c r="B34" s="97"/>
      <c r="C34" s="97"/>
      <c r="D34" s="98"/>
      <c r="E34" s="22"/>
      <c r="F34" s="23"/>
      <c r="G34" s="19"/>
      <c r="H34" s="20">
        <f t="shared" si="0"/>
        <v>0</v>
      </c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</row>
    <row r="35" spans="1:24" ht="29.25" customHeight="1" x14ac:dyDescent="0.2">
      <c r="A35" s="96"/>
      <c r="B35" s="97"/>
      <c r="C35" s="97"/>
      <c r="D35" s="98"/>
      <c r="E35" s="22"/>
      <c r="F35" s="23"/>
      <c r="G35" s="19"/>
      <c r="H35" s="20">
        <f t="shared" si="0"/>
        <v>0</v>
      </c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</row>
    <row r="36" spans="1:24" ht="29.25" customHeight="1" x14ac:dyDescent="0.2">
      <c r="A36" s="96"/>
      <c r="B36" s="97"/>
      <c r="C36" s="97"/>
      <c r="D36" s="98"/>
      <c r="E36" s="22"/>
      <c r="F36" s="23"/>
      <c r="G36" s="19"/>
      <c r="H36" s="20">
        <f t="shared" si="0"/>
        <v>0</v>
      </c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</row>
    <row r="37" spans="1:24" ht="29.25" customHeight="1" x14ac:dyDescent="0.2">
      <c r="A37" s="96"/>
      <c r="B37" s="97"/>
      <c r="C37" s="97"/>
      <c r="D37" s="98"/>
      <c r="E37" s="22"/>
      <c r="F37" s="23"/>
      <c r="G37" s="19"/>
      <c r="H37" s="20">
        <f t="shared" si="0"/>
        <v>0</v>
      </c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</row>
    <row r="38" spans="1:24" ht="29.25" customHeight="1" x14ac:dyDescent="0.2">
      <c r="A38" s="96"/>
      <c r="B38" s="109"/>
      <c r="C38" s="109"/>
      <c r="D38" s="110"/>
      <c r="E38" s="22"/>
      <c r="F38" s="23"/>
      <c r="G38" s="19"/>
      <c r="H38" s="20">
        <f t="shared" si="0"/>
        <v>0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</row>
    <row r="39" spans="1:24" ht="29.25" customHeight="1" x14ac:dyDescent="0.2">
      <c r="A39" s="96"/>
      <c r="B39" s="109"/>
      <c r="C39" s="109"/>
      <c r="D39" s="110"/>
      <c r="E39" s="22"/>
      <c r="F39" s="23"/>
      <c r="G39" s="19"/>
      <c r="H39" s="20">
        <f t="shared" si="0"/>
        <v>0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</row>
    <row r="40" spans="1:24" ht="29.25" customHeight="1" x14ac:dyDescent="0.2">
      <c r="A40" s="96"/>
      <c r="B40" s="109"/>
      <c r="C40" s="109"/>
      <c r="D40" s="110"/>
      <c r="E40" s="22"/>
      <c r="F40" s="23"/>
      <c r="G40" s="19"/>
      <c r="H40" s="20">
        <f t="shared" si="0"/>
        <v>0</v>
      </c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</row>
    <row r="41" spans="1:24" ht="29.25" customHeight="1" x14ac:dyDescent="0.2">
      <c r="A41" s="96"/>
      <c r="B41" s="109"/>
      <c r="C41" s="109"/>
      <c r="D41" s="110"/>
      <c r="E41" s="22"/>
      <c r="F41" s="23"/>
      <c r="G41" s="19"/>
      <c r="H41" s="20">
        <f t="shared" si="0"/>
        <v>0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</row>
    <row r="42" spans="1:24" ht="29.25" customHeight="1" x14ac:dyDescent="0.2">
      <c r="A42" s="96"/>
      <c r="B42" s="109"/>
      <c r="C42" s="109"/>
      <c r="D42" s="110"/>
      <c r="E42" s="22"/>
      <c r="F42" s="23"/>
      <c r="G42" s="19"/>
      <c r="H42" s="20">
        <f t="shared" si="0"/>
        <v>0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</row>
    <row r="43" spans="1:24" ht="29.25" customHeight="1" x14ac:dyDescent="0.2">
      <c r="A43" s="96"/>
      <c r="B43" s="109"/>
      <c r="C43" s="109"/>
      <c r="D43" s="110"/>
      <c r="E43" s="22"/>
      <c r="F43" s="23"/>
      <c r="G43" s="19"/>
      <c r="H43" s="20">
        <f t="shared" si="0"/>
        <v>0</v>
      </c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</row>
    <row r="44" spans="1:24" ht="29.25" customHeight="1" x14ac:dyDescent="0.2">
      <c r="A44" s="96"/>
      <c r="B44" s="109"/>
      <c r="C44" s="109"/>
      <c r="D44" s="110"/>
      <c r="E44" s="22"/>
      <c r="F44" s="23"/>
      <c r="G44" s="19"/>
      <c r="H44" s="20">
        <f t="shared" si="0"/>
        <v>0</v>
      </c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</row>
    <row r="45" spans="1:24" ht="29.25" customHeight="1" x14ac:dyDescent="0.2">
      <c r="A45" s="116"/>
      <c r="B45" s="117"/>
      <c r="C45" s="117"/>
      <c r="D45" s="118"/>
      <c r="E45" s="24"/>
      <c r="F45" s="23"/>
      <c r="G45" s="19"/>
      <c r="H45" s="20">
        <f t="shared" si="0"/>
        <v>0</v>
      </c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</row>
    <row r="46" spans="1:24" ht="29.25" customHeight="1" x14ac:dyDescent="0.2">
      <c r="A46" s="119"/>
      <c r="B46" s="120"/>
      <c r="C46" s="120"/>
      <c r="D46" s="120"/>
      <c r="E46" s="27"/>
      <c r="F46" s="121"/>
      <c r="G46" s="122"/>
      <c r="H46" s="29">
        <f>+SUM(H23:H45)</f>
        <v>7200000</v>
      </c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</row>
    <row r="47" spans="1:24" ht="15.75" customHeight="1" x14ac:dyDescent="0.25">
      <c r="A47" s="4"/>
      <c r="B47" s="4"/>
      <c r="C47" s="4"/>
      <c r="D47" s="4"/>
      <c r="E47" s="4"/>
      <c r="F47" s="4"/>
      <c r="G47" s="4"/>
      <c r="H47" s="4"/>
    </row>
    <row r="48" spans="1:24" ht="15.75" customHeight="1" x14ac:dyDescent="0.25">
      <c r="A48" s="4"/>
    </row>
    <row r="49" spans="1:10" ht="15.75" customHeight="1" x14ac:dyDescent="0.25">
      <c r="A49" s="4" t="s">
        <v>20</v>
      </c>
      <c r="H49" s="30" t="s">
        <v>16</v>
      </c>
    </row>
    <row r="50" spans="1:10" ht="30" customHeight="1" x14ac:dyDescent="0.25">
      <c r="A50" s="47"/>
      <c r="B50" s="56"/>
      <c r="C50" s="56"/>
      <c r="D50" s="57"/>
      <c r="F50" s="111" t="s">
        <v>17</v>
      </c>
      <c r="G50" s="112"/>
      <c r="H50" s="31">
        <f t="shared" ref="H50" si="1">+H46</f>
        <v>7200000</v>
      </c>
    </row>
    <row r="51" spans="1:10" ht="30" customHeight="1" x14ac:dyDescent="0.25">
      <c r="A51" s="49"/>
      <c r="B51" s="50"/>
      <c r="C51" s="50"/>
      <c r="D51" s="58"/>
      <c r="F51" s="111" t="str">
        <f>CONCATENATE("Total  TVA ", TEXT(J6,"0%"))</f>
        <v>Total  TVA 20%</v>
      </c>
      <c r="G51" s="112"/>
      <c r="H51" s="31">
        <f>+H50*J6</f>
        <v>1440000</v>
      </c>
    </row>
    <row r="52" spans="1:10" ht="30" customHeight="1" x14ac:dyDescent="0.25">
      <c r="A52" s="59"/>
      <c r="B52" s="60"/>
      <c r="C52" s="60"/>
      <c r="D52" s="61"/>
      <c r="F52" s="113" t="s">
        <v>18</v>
      </c>
      <c r="G52" s="112"/>
      <c r="H52" s="32">
        <f>+H50+H51</f>
        <v>8640000</v>
      </c>
    </row>
    <row r="53" spans="1:10" ht="15.75" customHeight="1" x14ac:dyDescent="0.2">
      <c r="J53" s="1">
        <v>0.2</v>
      </c>
    </row>
    <row r="54" spans="1:10" ht="15.75" customHeight="1" x14ac:dyDescent="0.2"/>
    <row r="55" spans="1:10" ht="15.75" customHeight="1" x14ac:dyDescent="0.2"/>
    <row r="56" spans="1:10" ht="15.75" customHeight="1" x14ac:dyDescent="0.25">
      <c r="A56" s="123" t="s">
        <v>19</v>
      </c>
      <c r="B56" s="124"/>
      <c r="C56" s="124"/>
      <c r="D56" s="125"/>
      <c r="F56" s="33" t="s">
        <v>70</v>
      </c>
      <c r="G56" s="34"/>
      <c r="H56" s="35"/>
      <c r="I56" s="39"/>
    </row>
    <row r="57" spans="1:10" ht="15.75" customHeight="1" x14ac:dyDescent="0.25">
      <c r="A57" s="90" t="s">
        <v>65</v>
      </c>
      <c r="B57" s="126"/>
      <c r="C57" s="126"/>
      <c r="D57" s="127"/>
      <c r="F57" s="41"/>
      <c r="G57" s="70"/>
      <c r="H57" s="38"/>
      <c r="I57" s="37"/>
    </row>
    <row r="58" spans="1:10" ht="15.75" customHeight="1" x14ac:dyDescent="0.25">
      <c r="A58" s="90" t="s">
        <v>66</v>
      </c>
      <c r="B58" s="126"/>
      <c r="C58" s="126"/>
      <c r="D58" s="127"/>
      <c r="F58" s="36" t="s">
        <v>76</v>
      </c>
      <c r="G58" s="37"/>
      <c r="H58" s="42"/>
      <c r="I58" s="40"/>
    </row>
    <row r="59" spans="1:10" ht="15.75" customHeight="1" x14ac:dyDescent="0.25">
      <c r="A59" s="90" t="s">
        <v>67</v>
      </c>
      <c r="B59" s="126"/>
      <c r="C59" s="126"/>
      <c r="D59" s="127"/>
      <c r="F59" s="36" t="s">
        <v>77</v>
      </c>
      <c r="G59" s="40"/>
      <c r="H59" s="43"/>
    </row>
    <row r="60" spans="1:10" ht="15.75" customHeight="1" x14ac:dyDescent="0.25">
      <c r="A60" s="90" t="s">
        <v>68</v>
      </c>
      <c r="B60" s="126"/>
      <c r="C60" s="126"/>
      <c r="D60" s="127"/>
      <c r="F60" s="41"/>
      <c r="G60" s="70"/>
      <c r="H60" s="43"/>
    </row>
    <row r="61" spans="1:10" ht="15.75" customHeight="1" x14ac:dyDescent="0.25">
      <c r="A61" s="99" t="s">
        <v>69</v>
      </c>
      <c r="B61" s="128"/>
      <c r="C61" s="128"/>
      <c r="D61" s="129"/>
      <c r="F61" s="44"/>
      <c r="G61" s="45"/>
      <c r="H61" s="46"/>
    </row>
    <row r="62" spans="1:10" ht="15.75" customHeight="1" x14ac:dyDescent="0.25">
      <c r="A62" s="51"/>
      <c r="B62" s="21"/>
      <c r="C62" s="21"/>
      <c r="D62" s="21"/>
      <c r="F62" s="21"/>
      <c r="G62" s="21"/>
      <c r="H62" s="21"/>
    </row>
    <row r="63" spans="1:10" ht="15.75" customHeight="1" x14ac:dyDescent="0.2"/>
    <row r="64" spans="1:10" ht="15.75" customHeight="1" x14ac:dyDescent="0.2">
      <c r="A64" s="114" t="s">
        <v>36</v>
      </c>
      <c r="B64" s="114"/>
      <c r="C64" s="114"/>
      <c r="D64" s="114"/>
      <c r="E64" s="114"/>
      <c r="F64" s="114"/>
      <c r="G64" s="114"/>
      <c r="H64" s="114"/>
    </row>
    <row r="65" spans="1:8" ht="15.75" customHeight="1" x14ac:dyDescent="0.2">
      <c r="A65" s="115"/>
      <c r="B65" s="115"/>
      <c r="C65" s="115"/>
      <c r="D65" s="115"/>
      <c r="E65" s="115"/>
      <c r="F65" s="115"/>
      <c r="G65" s="115"/>
      <c r="H65" s="115"/>
    </row>
    <row r="66" spans="1:8" ht="15.75" customHeight="1" x14ac:dyDescent="0.2"/>
    <row r="67" spans="1:8" ht="15.75" customHeight="1" x14ac:dyDescent="0.2"/>
    <row r="68" spans="1:8" ht="15.75" customHeight="1" x14ac:dyDescent="0.2"/>
    <row r="69" spans="1:8" ht="15.75" customHeight="1" x14ac:dyDescent="0.2"/>
    <row r="70" spans="1:8" ht="15.75" customHeight="1" x14ac:dyDescent="0.2"/>
    <row r="71" spans="1:8" ht="15.75" customHeight="1" x14ac:dyDescent="0.2"/>
    <row r="72" spans="1:8" ht="15.75" customHeight="1" x14ac:dyDescent="0.2"/>
    <row r="73" spans="1:8" ht="15.75" customHeight="1" x14ac:dyDescent="0.2"/>
    <row r="74" spans="1:8" ht="15.75" customHeight="1" x14ac:dyDescent="0.2"/>
    <row r="75" spans="1:8" ht="15.75" customHeight="1" x14ac:dyDescent="0.2"/>
    <row r="76" spans="1:8" ht="15.75" customHeight="1" x14ac:dyDescent="0.2"/>
    <row r="77" spans="1:8" ht="15.75" customHeight="1" x14ac:dyDescent="0.2"/>
    <row r="78" spans="1:8" ht="15.75" customHeight="1" x14ac:dyDescent="0.2"/>
    <row r="79" spans="1:8" ht="15.75" customHeight="1" x14ac:dyDescent="0.2"/>
    <row r="80" spans="1:8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</sheetData>
  <mergeCells count="44">
    <mergeCell ref="F50:G50"/>
    <mergeCell ref="F51:G51"/>
    <mergeCell ref="F52:G52"/>
    <mergeCell ref="A64:H65"/>
    <mergeCell ref="A42:D42"/>
    <mergeCell ref="A43:D43"/>
    <mergeCell ref="A44:D44"/>
    <mergeCell ref="A45:D45"/>
    <mergeCell ref="A46:D46"/>
    <mergeCell ref="F46:G46"/>
    <mergeCell ref="A56:D56"/>
    <mergeCell ref="A57:D57"/>
    <mergeCell ref="A58:D58"/>
    <mergeCell ref="A59:D59"/>
    <mergeCell ref="A60:D60"/>
    <mergeCell ref="A61:D61"/>
    <mergeCell ref="A41:D41"/>
    <mergeCell ref="A30:D30"/>
    <mergeCell ref="A31:D31"/>
    <mergeCell ref="A32:D32"/>
    <mergeCell ref="A33:D33"/>
    <mergeCell ref="A34:D34"/>
    <mergeCell ref="A35:D35"/>
    <mergeCell ref="A36:D36"/>
    <mergeCell ref="A37:D37"/>
    <mergeCell ref="A38:D38"/>
    <mergeCell ref="A39:D39"/>
    <mergeCell ref="A40:D40"/>
    <mergeCell ref="A29:D29"/>
    <mergeCell ref="E17:H17"/>
    <mergeCell ref="E18:H18"/>
    <mergeCell ref="A22:D22"/>
    <mergeCell ref="A23:D23"/>
    <mergeCell ref="A24:D24"/>
    <mergeCell ref="A25:D25"/>
    <mergeCell ref="A26:D26"/>
    <mergeCell ref="A27:D27"/>
    <mergeCell ref="A28:D28"/>
    <mergeCell ref="E16:H16"/>
    <mergeCell ref="E11:H11"/>
    <mergeCell ref="E12:H12"/>
    <mergeCell ref="E13:H13"/>
    <mergeCell ref="E14:H14"/>
    <mergeCell ref="E15:H15"/>
  </mergeCells>
  <printOptions horizontalCentered="1"/>
  <pageMargins left="0.23622047244094491" right="0.23622047244094491" top="0.74803149606299213" bottom="0.74803149606299213" header="0" footer="0"/>
  <pageSetup paperSize="9" scale="5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Z1010"/>
  <sheetViews>
    <sheetView view="pageBreakPreview" zoomScale="70" zoomScaleNormal="100" zoomScaleSheetLayoutView="70" workbookViewId="0">
      <selection activeCell="H20" sqref="H20:J21"/>
    </sheetView>
  </sheetViews>
  <sheetFormatPr baseColWidth="10" defaultColWidth="14.42578125" defaultRowHeight="15" customHeight="1" x14ac:dyDescent="0.2"/>
  <cols>
    <col min="1" max="2" width="10.7109375" style="1" customWidth="1"/>
    <col min="3" max="3" width="29.28515625" style="1" customWidth="1"/>
    <col min="4" max="4" width="6.42578125" style="1" customWidth="1"/>
    <col min="5" max="5" width="11.42578125" style="1" customWidth="1"/>
    <col min="6" max="6" width="15" style="1" customWidth="1"/>
    <col min="7" max="7" width="24.7109375" style="1" customWidth="1"/>
    <col min="8" max="8" width="10.7109375" style="1" customWidth="1"/>
    <col min="9" max="9" width="17.28515625" style="1" customWidth="1"/>
    <col min="10" max="10" width="27" style="1" customWidth="1"/>
    <col min="11" max="11" width="10.7109375" style="1" customWidth="1"/>
    <col min="12" max="12" width="12.42578125" style="1" bestFit="1" customWidth="1"/>
    <col min="13" max="26" width="10.7109375" style="1" customWidth="1"/>
    <col min="27" max="16384" width="14.42578125" style="1"/>
  </cols>
  <sheetData>
    <row r="1" spans="1:26" ht="15" customHeight="1" x14ac:dyDescent="0.2">
      <c r="J1" s="52"/>
      <c r="K1" s="52"/>
      <c r="L1" s="62">
        <v>70</v>
      </c>
    </row>
    <row r="2" spans="1:26" ht="23.25" x14ac:dyDescent="0.35">
      <c r="G2" s="3"/>
      <c r="H2" s="63" t="s">
        <v>0</v>
      </c>
      <c r="I2" s="3"/>
      <c r="J2" s="52"/>
      <c r="K2" s="52"/>
      <c r="L2" s="53" t="s">
        <v>64</v>
      </c>
    </row>
    <row r="3" spans="1:26" ht="23.25" x14ac:dyDescent="0.35">
      <c r="H3" s="63" t="str">
        <f>CONCATENATE("Ref : 2020 - 00",L1)</f>
        <v>Ref : 2020 - 0070</v>
      </c>
      <c r="L3" s="53"/>
    </row>
    <row r="4" spans="1:26" ht="23.25" x14ac:dyDescent="0.35">
      <c r="H4" s="64" t="str">
        <f>CONCATENATE("Date : ",TEXT(L2,"dd/mm/yyyy"))</f>
        <v>Date : 21/10/2020</v>
      </c>
      <c r="L4" s="54"/>
    </row>
    <row r="5" spans="1:26" ht="23.25" x14ac:dyDescent="0.35">
      <c r="H5" s="64" t="str">
        <f>CONCATENATE("Date de fin de validité : ",TEXT(L3,"dd/mm/yyyy"))</f>
        <v>Date de fin de validité : 00/01/1900</v>
      </c>
      <c r="L5" s="55"/>
    </row>
    <row r="6" spans="1:26" x14ac:dyDescent="0.25">
      <c r="E6" s="4"/>
      <c r="L6" s="67"/>
    </row>
    <row r="9" spans="1:26" x14ac:dyDescent="0.25">
      <c r="A9" s="4" t="s">
        <v>1</v>
      </c>
      <c r="E9" s="4" t="s">
        <v>2</v>
      </c>
    </row>
    <row r="10" spans="1:26" ht="5.25" customHeight="1" x14ac:dyDescent="0.2"/>
    <row r="11" spans="1:26" ht="21" x14ac:dyDescent="0.35">
      <c r="A11" s="5" t="s">
        <v>3</v>
      </c>
      <c r="B11" s="6"/>
      <c r="C11" s="7"/>
      <c r="D11" s="2"/>
      <c r="E11" s="93"/>
      <c r="F11" s="94"/>
      <c r="G11" s="94"/>
      <c r="H11" s="94"/>
      <c r="I11" s="94"/>
      <c r="J11" s="95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8" t="s">
        <v>4</v>
      </c>
      <c r="B12" s="9"/>
      <c r="C12" s="10"/>
      <c r="D12" s="4"/>
      <c r="E12" s="90"/>
      <c r="F12" s="91"/>
      <c r="G12" s="91"/>
      <c r="H12" s="91"/>
      <c r="I12" s="91"/>
      <c r="J12" s="92"/>
    </row>
    <row r="13" spans="1:26" x14ac:dyDescent="0.25">
      <c r="A13" s="8" t="s">
        <v>5</v>
      </c>
      <c r="B13" s="9"/>
      <c r="C13" s="10"/>
      <c r="D13" s="4"/>
      <c r="E13" s="90"/>
      <c r="F13" s="91"/>
      <c r="G13" s="91"/>
      <c r="H13" s="91"/>
      <c r="I13" s="91"/>
      <c r="J13" s="92"/>
    </row>
    <row r="14" spans="1:26" x14ac:dyDescent="0.25">
      <c r="A14" s="8" t="s">
        <v>6</v>
      </c>
      <c r="B14" s="9"/>
      <c r="C14" s="10"/>
      <c r="D14" s="4"/>
      <c r="E14" s="90"/>
      <c r="F14" s="91"/>
      <c r="G14" s="91"/>
      <c r="H14" s="91"/>
      <c r="I14" s="91"/>
      <c r="J14" s="92"/>
    </row>
    <row r="15" spans="1:26" x14ac:dyDescent="0.25">
      <c r="A15" s="8"/>
      <c r="B15" s="9"/>
      <c r="C15" s="10"/>
      <c r="D15" s="4"/>
      <c r="E15" s="90"/>
      <c r="F15" s="91"/>
      <c r="G15" s="91"/>
      <c r="H15" s="91"/>
      <c r="I15" s="91"/>
      <c r="J15" s="92"/>
    </row>
    <row r="16" spans="1:26" x14ac:dyDescent="0.25">
      <c r="A16" s="8" t="s">
        <v>7</v>
      </c>
      <c r="B16" s="9"/>
      <c r="C16" s="10"/>
      <c r="D16" s="4"/>
      <c r="E16" s="90"/>
      <c r="F16" s="91"/>
      <c r="G16" s="91"/>
      <c r="H16" s="91"/>
      <c r="I16" s="91"/>
      <c r="J16" s="92"/>
    </row>
    <row r="17" spans="1:26" x14ac:dyDescent="0.25">
      <c r="A17" s="8" t="s">
        <v>8</v>
      </c>
      <c r="B17" s="9"/>
      <c r="C17" s="10"/>
      <c r="D17" s="4"/>
      <c r="E17" s="90"/>
      <c r="F17" s="91"/>
      <c r="G17" s="91"/>
      <c r="H17" s="91"/>
      <c r="I17" s="91"/>
      <c r="J17" s="92"/>
    </row>
    <row r="18" spans="1:26" x14ac:dyDescent="0.25">
      <c r="A18" s="11" t="s">
        <v>9</v>
      </c>
      <c r="B18" s="12"/>
      <c r="C18" s="13"/>
      <c r="D18" s="4"/>
      <c r="E18" s="99"/>
      <c r="F18" s="100"/>
      <c r="G18" s="100"/>
      <c r="H18" s="100"/>
      <c r="I18" s="100"/>
      <c r="J18" s="101"/>
    </row>
    <row r="20" spans="1:26" ht="15" customHeight="1" x14ac:dyDescent="0.2">
      <c r="A20" s="130" t="str">
        <f>CONCATENATE("Taux de change selon la Banque Centrale de Madagascar à la date de ",TEXT( L7,"dd/mm/yyyy")," :" )</f>
        <v>Taux de change selon la Banque Centrale de Madagascar à la date de 00/01/1900 :</v>
      </c>
      <c r="B20" s="131"/>
      <c r="C20" s="131"/>
      <c r="D20" s="131"/>
      <c r="E20" s="131"/>
      <c r="F20" s="131"/>
      <c r="G20" s="132"/>
      <c r="H20" s="130" t="str">
        <f>CONCATENATE("1 "," ",L4," = ", L5," Ar")</f>
        <v>1   =  Ar</v>
      </c>
      <c r="I20" s="131"/>
      <c r="J20" s="132"/>
    </row>
    <row r="21" spans="1:26" ht="15" customHeight="1" x14ac:dyDescent="0.2">
      <c r="A21" s="133"/>
      <c r="B21" s="134"/>
      <c r="C21" s="134"/>
      <c r="D21" s="134"/>
      <c r="E21" s="134"/>
      <c r="F21" s="134"/>
      <c r="G21" s="135"/>
      <c r="H21" s="133"/>
      <c r="I21" s="134"/>
      <c r="J21" s="135"/>
    </row>
    <row r="23" spans="1:26" x14ac:dyDescent="0.25">
      <c r="I23" s="4" t="s">
        <v>10</v>
      </c>
    </row>
    <row r="24" spans="1:26" ht="38.25" customHeight="1" x14ac:dyDescent="0.2">
      <c r="A24" s="102" t="s">
        <v>11</v>
      </c>
      <c r="B24" s="102"/>
      <c r="C24" s="102"/>
      <c r="D24" s="102"/>
      <c r="E24" s="14" t="s">
        <v>12</v>
      </c>
      <c r="F24" s="15" t="str">
        <f>CONCATENATE("PU HT (en ",L4,")")</f>
        <v>PU HT (en )</v>
      </c>
      <c r="G24" s="14" t="s">
        <v>13</v>
      </c>
      <c r="H24" s="15" t="s">
        <v>37</v>
      </c>
      <c r="I24" s="15" t="str">
        <f>CONCATENATE("TOTAL HT (en ",L4,")")</f>
        <v>TOTAL HT (en )</v>
      </c>
      <c r="J24" s="14" t="s">
        <v>14</v>
      </c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ht="29.25" customHeight="1" x14ac:dyDescent="0.2">
      <c r="A25" s="103"/>
      <c r="B25" s="104"/>
      <c r="C25" s="104"/>
      <c r="D25" s="105"/>
      <c r="E25" s="17"/>
      <c r="F25" s="18"/>
      <c r="G25" s="18">
        <f>+F25*L5</f>
        <v>0</v>
      </c>
      <c r="H25" s="19"/>
      <c r="I25" s="20">
        <f>+F25*H25</f>
        <v>0</v>
      </c>
      <c r="J25" s="20">
        <f>+G25*H25</f>
        <v>0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ht="29.25" customHeight="1" x14ac:dyDescent="0.2">
      <c r="A26" s="106"/>
      <c r="B26" s="107"/>
      <c r="C26" s="107"/>
      <c r="D26" s="108"/>
      <c r="E26" s="17"/>
      <c r="F26" s="18"/>
      <c r="G26" s="18">
        <f t="shared" ref="G26:G47" si="0">+F26*L6</f>
        <v>0</v>
      </c>
      <c r="H26" s="19"/>
      <c r="I26" s="20">
        <f t="shared" ref="I26:I47" si="1">+F26*H26</f>
        <v>0</v>
      </c>
      <c r="J26" s="20">
        <f t="shared" ref="J26:J47" si="2">+G26*H26</f>
        <v>0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29.25" customHeight="1" x14ac:dyDescent="0.2">
      <c r="A27" s="106"/>
      <c r="B27" s="107"/>
      <c r="C27" s="107"/>
      <c r="D27" s="108"/>
      <c r="E27" s="17"/>
      <c r="F27" s="18"/>
      <c r="G27" s="18">
        <f t="shared" si="0"/>
        <v>0</v>
      </c>
      <c r="H27" s="19"/>
      <c r="I27" s="20">
        <f t="shared" si="1"/>
        <v>0</v>
      </c>
      <c r="J27" s="20">
        <f t="shared" si="2"/>
        <v>0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ht="29.25" customHeight="1" x14ac:dyDescent="0.2">
      <c r="A28" s="106"/>
      <c r="B28" s="107"/>
      <c r="C28" s="107"/>
      <c r="D28" s="108"/>
      <c r="E28" s="17"/>
      <c r="F28" s="18"/>
      <c r="G28" s="18">
        <f t="shared" si="0"/>
        <v>0</v>
      </c>
      <c r="H28" s="19"/>
      <c r="I28" s="20">
        <f t="shared" si="1"/>
        <v>0</v>
      </c>
      <c r="J28" s="20">
        <f t="shared" si="2"/>
        <v>0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ht="29.25" customHeight="1" x14ac:dyDescent="0.2">
      <c r="A29" s="106"/>
      <c r="B29" s="107"/>
      <c r="C29" s="107"/>
      <c r="D29" s="108"/>
      <c r="E29" s="17"/>
      <c r="F29" s="18"/>
      <c r="G29" s="18">
        <f t="shared" si="0"/>
        <v>0</v>
      </c>
      <c r="H29" s="19"/>
      <c r="I29" s="20">
        <f t="shared" si="1"/>
        <v>0</v>
      </c>
      <c r="J29" s="20">
        <f t="shared" si="2"/>
        <v>0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29.25" customHeight="1" x14ac:dyDescent="0.2">
      <c r="A30" s="106"/>
      <c r="B30" s="107"/>
      <c r="C30" s="107"/>
      <c r="D30" s="108"/>
      <c r="E30" s="17"/>
      <c r="F30" s="18"/>
      <c r="G30" s="18">
        <f t="shared" si="0"/>
        <v>0</v>
      </c>
      <c r="H30" s="19"/>
      <c r="I30" s="20">
        <f t="shared" si="1"/>
        <v>0</v>
      </c>
      <c r="J30" s="20">
        <f t="shared" si="2"/>
        <v>0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ht="29.25" customHeight="1" x14ac:dyDescent="0.2">
      <c r="A31" s="96"/>
      <c r="B31" s="97"/>
      <c r="C31" s="97"/>
      <c r="D31" s="98"/>
      <c r="E31" s="17"/>
      <c r="F31" s="23"/>
      <c r="G31" s="18">
        <f t="shared" si="0"/>
        <v>0</v>
      </c>
      <c r="H31" s="19"/>
      <c r="I31" s="20">
        <f t="shared" si="1"/>
        <v>0</v>
      </c>
      <c r="J31" s="20">
        <f t="shared" si="2"/>
        <v>0</v>
      </c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ht="29.25" customHeight="1" x14ac:dyDescent="0.2">
      <c r="A32" s="96"/>
      <c r="B32" s="97"/>
      <c r="C32" s="97"/>
      <c r="D32" s="98"/>
      <c r="E32" s="17"/>
      <c r="F32" s="23"/>
      <c r="G32" s="18">
        <f t="shared" si="0"/>
        <v>0</v>
      </c>
      <c r="H32" s="19"/>
      <c r="I32" s="20">
        <f t="shared" si="1"/>
        <v>0</v>
      </c>
      <c r="J32" s="20">
        <f t="shared" si="2"/>
        <v>0</v>
      </c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29.25" customHeight="1" x14ac:dyDescent="0.2">
      <c r="A33" s="96"/>
      <c r="B33" s="97"/>
      <c r="C33" s="97"/>
      <c r="D33" s="98"/>
      <c r="E33" s="17"/>
      <c r="F33" s="23"/>
      <c r="G33" s="18">
        <f t="shared" si="0"/>
        <v>0</v>
      </c>
      <c r="H33" s="19"/>
      <c r="I33" s="20">
        <f t="shared" si="1"/>
        <v>0</v>
      </c>
      <c r="J33" s="20">
        <f t="shared" si="2"/>
        <v>0</v>
      </c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29.25" customHeight="1" x14ac:dyDescent="0.2">
      <c r="A34" s="96"/>
      <c r="B34" s="97"/>
      <c r="C34" s="97"/>
      <c r="D34" s="98"/>
      <c r="E34" s="17"/>
      <c r="F34" s="23"/>
      <c r="G34" s="18">
        <f t="shared" si="0"/>
        <v>0</v>
      </c>
      <c r="H34" s="19"/>
      <c r="I34" s="20">
        <f t="shared" si="1"/>
        <v>0</v>
      </c>
      <c r="J34" s="20">
        <f t="shared" si="2"/>
        <v>0</v>
      </c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29.25" customHeight="1" x14ac:dyDescent="0.2">
      <c r="A35" s="96"/>
      <c r="B35" s="97"/>
      <c r="C35" s="97"/>
      <c r="D35" s="98"/>
      <c r="E35" s="17"/>
      <c r="F35" s="23"/>
      <c r="G35" s="18">
        <f t="shared" si="0"/>
        <v>0</v>
      </c>
      <c r="H35" s="19"/>
      <c r="I35" s="20">
        <f t="shared" si="1"/>
        <v>0</v>
      </c>
      <c r="J35" s="20">
        <f t="shared" si="2"/>
        <v>0</v>
      </c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29.25" customHeight="1" x14ac:dyDescent="0.2">
      <c r="A36" s="96"/>
      <c r="B36" s="97"/>
      <c r="C36" s="97"/>
      <c r="D36" s="98"/>
      <c r="E36" s="17"/>
      <c r="F36" s="23"/>
      <c r="G36" s="18">
        <f t="shared" si="0"/>
        <v>0</v>
      </c>
      <c r="H36" s="19"/>
      <c r="I36" s="20">
        <f t="shared" si="1"/>
        <v>0</v>
      </c>
      <c r="J36" s="20">
        <f t="shared" si="2"/>
        <v>0</v>
      </c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29.25" customHeight="1" x14ac:dyDescent="0.2">
      <c r="A37" s="96"/>
      <c r="B37" s="97"/>
      <c r="C37" s="97"/>
      <c r="D37" s="98"/>
      <c r="E37" s="17"/>
      <c r="F37" s="23"/>
      <c r="G37" s="18">
        <f t="shared" si="0"/>
        <v>0</v>
      </c>
      <c r="H37" s="19"/>
      <c r="I37" s="20">
        <f t="shared" si="1"/>
        <v>0</v>
      </c>
      <c r="J37" s="20">
        <f t="shared" si="2"/>
        <v>0</v>
      </c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29.25" customHeight="1" x14ac:dyDescent="0.2">
      <c r="A38" s="96"/>
      <c r="B38" s="97"/>
      <c r="C38" s="97"/>
      <c r="D38" s="98"/>
      <c r="E38" s="17"/>
      <c r="F38" s="23"/>
      <c r="G38" s="18">
        <f t="shared" si="0"/>
        <v>0</v>
      </c>
      <c r="H38" s="19"/>
      <c r="I38" s="20">
        <f t="shared" si="1"/>
        <v>0</v>
      </c>
      <c r="J38" s="20">
        <f t="shared" si="2"/>
        <v>0</v>
      </c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29.25" customHeight="1" x14ac:dyDescent="0.2">
      <c r="A39" s="96"/>
      <c r="B39" s="97"/>
      <c r="C39" s="97"/>
      <c r="D39" s="98"/>
      <c r="E39" s="17"/>
      <c r="F39" s="23"/>
      <c r="G39" s="18">
        <f t="shared" si="0"/>
        <v>0</v>
      </c>
      <c r="H39" s="19"/>
      <c r="I39" s="20">
        <f t="shared" si="1"/>
        <v>0</v>
      </c>
      <c r="J39" s="20">
        <f t="shared" si="2"/>
        <v>0</v>
      </c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29.25" customHeight="1" x14ac:dyDescent="0.2">
      <c r="A40" s="96"/>
      <c r="B40" s="109"/>
      <c r="C40" s="109"/>
      <c r="D40" s="110"/>
      <c r="E40" s="17"/>
      <c r="F40" s="23"/>
      <c r="G40" s="18">
        <f t="shared" si="0"/>
        <v>0</v>
      </c>
      <c r="H40" s="19"/>
      <c r="I40" s="20">
        <f t="shared" si="1"/>
        <v>0</v>
      </c>
      <c r="J40" s="20">
        <f t="shared" si="2"/>
        <v>0</v>
      </c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29.25" customHeight="1" x14ac:dyDescent="0.2">
      <c r="A41" s="96"/>
      <c r="B41" s="109"/>
      <c r="C41" s="109"/>
      <c r="D41" s="110"/>
      <c r="E41" s="17"/>
      <c r="F41" s="23"/>
      <c r="G41" s="18">
        <f t="shared" si="0"/>
        <v>0</v>
      </c>
      <c r="H41" s="19"/>
      <c r="I41" s="20">
        <f t="shared" si="1"/>
        <v>0</v>
      </c>
      <c r="J41" s="20">
        <f t="shared" si="2"/>
        <v>0</v>
      </c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29.25" customHeight="1" x14ac:dyDescent="0.2">
      <c r="A42" s="96"/>
      <c r="B42" s="109"/>
      <c r="C42" s="109"/>
      <c r="D42" s="110"/>
      <c r="E42" s="17"/>
      <c r="F42" s="23"/>
      <c r="G42" s="18">
        <f t="shared" si="0"/>
        <v>0</v>
      </c>
      <c r="H42" s="19"/>
      <c r="I42" s="20">
        <f t="shared" si="1"/>
        <v>0</v>
      </c>
      <c r="J42" s="20">
        <f t="shared" si="2"/>
        <v>0</v>
      </c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29.25" customHeight="1" x14ac:dyDescent="0.2">
      <c r="A43" s="96"/>
      <c r="B43" s="109"/>
      <c r="C43" s="109"/>
      <c r="D43" s="110"/>
      <c r="E43" s="17"/>
      <c r="F43" s="23"/>
      <c r="G43" s="18">
        <f t="shared" si="0"/>
        <v>0</v>
      </c>
      <c r="H43" s="19"/>
      <c r="I43" s="20">
        <f t="shared" si="1"/>
        <v>0</v>
      </c>
      <c r="J43" s="20">
        <f t="shared" si="2"/>
        <v>0</v>
      </c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29.25" customHeight="1" x14ac:dyDescent="0.2">
      <c r="A44" s="96"/>
      <c r="B44" s="109"/>
      <c r="C44" s="109"/>
      <c r="D44" s="110"/>
      <c r="E44" s="17"/>
      <c r="F44" s="23"/>
      <c r="G44" s="18">
        <f t="shared" si="0"/>
        <v>0</v>
      </c>
      <c r="H44" s="19"/>
      <c r="I44" s="20">
        <f t="shared" si="1"/>
        <v>0</v>
      </c>
      <c r="J44" s="20">
        <f t="shared" si="2"/>
        <v>0</v>
      </c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29.25" customHeight="1" x14ac:dyDescent="0.2">
      <c r="A45" s="96"/>
      <c r="B45" s="109"/>
      <c r="C45" s="109"/>
      <c r="D45" s="110"/>
      <c r="E45" s="17"/>
      <c r="F45" s="23"/>
      <c r="G45" s="18">
        <f t="shared" si="0"/>
        <v>0</v>
      </c>
      <c r="H45" s="19"/>
      <c r="I45" s="20">
        <f t="shared" si="1"/>
        <v>0</v>
      </c>
      <c r="J45" s="20">
        <f t="shared" si="2"/>
        <v>0</v>
      </c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29.25" customHeight="1" x14ac:dyDescent="0.2">
      <c r="A46" s="96"/>
      <c r="B46" s="109"/>
      <c r="C46" s="109"/>
      <c r="D46" s="110"/>
      <c r="E46" s="17"/>
      <c r="F46" s="23"/>
      <c r="G46" s="18">
        <f t="shared" si="0"/>
        <v>0</v>
      </c>
      <c r="H46" s="19"/>
      <c r="I46" s="20">
        <f t="shared" si="1"/>
        <v>0</v>
      </c>
      <c r="J46" s="20">
        <f t="shared" si="2"/>
        <v>0</v>
      </c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29.25" customHeight="1" x14ac:dyDescent="0.2">
      <c r="A47" s="116"/>
      <c r="B47" s="117"/>
      <c r="C47" s="117"/>
      <c r="D47" s="118"/>
      <c r="E47" s="68"/>
      <c r="F47" s="25"/>
      <c r="G47" s="18">
        <f t="shared" si="0"/>
        <v>0</v>
      </c>
      <c r="H47" s="26"/>
      <c r="I47" s="20">
        <f t="shared" si="1"/>
        <v>0</v>
      </c>
      <c r="J47" s="20">
        <f t="shared" si="2"/>
        <v>0</v>
      </c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29.25" customHeight="1" x14ac:dyDescent="0.2">
      <c r="A48" s="119"/>
      <c r="B48" s="120"/>
      <c r="C48" s="120"/>
      <c r="D48" s="120"/>
      <c r="E48" s="27"/>
      <c r="F48" s="136" t="s">
        <v>15</v>
      </c>
      <c r="G48" s="137"/>
      <c r="H48" s="112"/>
      <c r="I48" s="28">
        <f>+SUM(I25:I47)</f>
        <v>0</v>
      </c>
      <c r="J48" s="29">
        <f>+SUM(J25:J47)</f>
        <v>0</v>
      </c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11" ht="15.75" customHeight="1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</row>
    <row r="50" spans="1:11" ht="15.75" customHeight="1" x14ac:dyDescent="0.25">
      <c r="A50" s="4"/>
    </row>
    <row r="51" spans="1:11" ht="15.75" customHeight="1" x14ac:dyDescent="0.25">
      <c r="A51" s="4" t="s">
        <v>20</v>
      </c>
      <c r="I51" s="30" t="str">
        <f>CONCATENATE("En ",L4)</f>
        <v xml:space="preserve">En </v>
      </c>
      <c r="J51" s="30" t="s">
        <v>16</v>
      </c>
    </row>
    <row r="52" spans="1:11" ht="30" customHeight="1" x14ac:dyDescent="0.25">
      <c r="A52" s="47"/>
      <c r="B52" s="56"/>
      <c r="C52" s="56"/>
      <c r="D52" s="57"/>
      <c r="G52" s="111" t="s">
        <v>17</v>
      </c>
      <c r="H52" s="112"/>
      <c r="I52" s="31">
        <f t="shared" ref="I52:J52" si="3">+I48</f>
        <v>0</v>
      </c>
      <c r="J52" s="31">
        <f t="shared" si="3"/>
        <v>0</v>
      </c>
    </row>
    <row r="53" spans="1:11" ht="30" customHeight="1" x14ac:dyDescent="0.25">
      <c r="A53" s="49"/>
      <c r="B53" s="50"/>
      <c r="C53" s="50"/>
      <c r="D53" s="58"/>
      <c r="G53" s="111" t="str">
        <f xml:space="preserve"> CONCATENATE("Total  TVA ", TEXT(L6,"0%"))</f>
        <v>Total  TVA 0%</v>
      </c>
      <c r="H53" s="112"/>
      <c r="I53" s="31">
        <f>+I52*L6</f>
        <v>0</v>
      </c>
      <c r="J53" s="31">
        <f>+J52*L6</f>
        <v>0</v>
      </c>
    </row>
    <row r="54" spans="1:11" ht="30" customHeight="1" x14ac:dyDescent="0.25">
      <c r="A54" s="59"/>
      <c r="B54" s="60"/>
      <c r="C54" s="60"/>
      <c r="D54" s="61"/>
      <c r="G54" s="113" t="s">
        <v>18</v>
      </c>
      <c r="H54" s="112"/>
      <c r="I54" s="32">
        <f>+I52+I53</f>
        <v>0</v>
      </c>
      <c r="J54" s="32">
        <f>+J52+J53</f>
        <v>0</v>
      </c>
    </row>
    <row r="55" spans="1:11" ht="15.75" customHeight="1" x14ac:dyDescent="0.2"/>
    <row r="56" spans="1:11" ht="15.75" customHeight="1" x14ac:dyDescent="0.2"/>
    <row r="57" spans="1:11" ht="15.75" customHeight="1" x14ac:dyDescent="0.2"/>
    <row r="58" spans="1:11" ht="15.75" customHeight="1" x14ac:dyDescent="0.25">
      <c r="A58" s="138" t="s">
        <v>19</v>
      </c>
      <c r="B58" s="139"/>
      <c r="C58" s="139"/>
      <c r="D58" s="140"/>
      <c r="G58" s="33" t="s">
        <v>70</v>
      </c>
      <c r="H58" s="34"/>
      <c r="I58" s="34"/>
      <c r="J58" s="35"/>
      <c r="K58" s="39"/>
    </row>
    <row r="59" spans="1:11" ht="15.75" customHeight="1" x14ac:dyDescent="0.25">
      <c r="A59" s="141" t="s">
        <v>21</v>
      </c>
      <c r="B59" s="142"/>
      <c r="C59" s="142"/>
      <c r="D59" s="143"/>
      <c r="G59" s="41"/>
      <c r="H59" s="70"/>
      <c r="I59" s="70"/>
      <c r="J59" s="38"/>
      <c r="K59" s="37"/>
    </row>
    <row r="60" spans="1:11" ht="15.75" customHeight="1" x14ac:dyDescent="0.25">
      <c r="A60" s="141" t="s">
        <v>22</v>
      </c>
      <c r="B60" s="142"/>
      <c r="C60" s="142"/>
      <c r="D60" s="143"/>
      <c r="G60" s="36" t="s">
        <v>78</v>
      </c>
      <c r="H60" s="37"/>
      <c r="I60" s="37"/>
      <c r="J60" s="42"/>
      <c r="K60" s="40"/>
    </row>
    <row r="61" spans="1:11" ht="15.75" customHeight="1" x14ac:dyDescent="0.25">
      <c r="A61" s="141" t="s">
        <v>23</v>
      </c>
      <c r="B61" s="142"/>
      <c r="C61" s="142"/>
      <c r="D61" s="143"/>
      <c r="G61" s="36" t="s">
        <v>79</v>
      </c>
      <c r="H61" s="40"/>
      <c r="I61" s="40"/>
      <c r="J61" s="43"/>
    </row>
    <row r="62" spans="1:11" ht="15.75" customHeight="1" x14ac:dyDescent="0.25">
      <c r="A62" s="141" t="s">
        <v>24</v>
      </c>
      <c r="B62" s="142"/>
      <c r="C62" s="142"/>
      <c r="D62" s="143"/>
      <c r="G62" s="41"/>
      <c r="H62" s="70"/>
      <c r="I62" s="70"/>
      <c r="J62" s="43"/>
    </row>
    <row r="63" spans="1:11" ht="15.75" customHeight="1" x14ac:dyDescent="0.25">
      <c r="A63" s="144" t="s">
        <v>25</v>
      </c>
      <c r="B63" s="145"/>
      <c r="C63" s="145"/>
      <c r="D63" s="146"/>
      <c r="G63" s="44"/>
      <c r="H63" s="45"/>
      <c r="I63" s="45"/>
      <c r="J63" s="46"/>
    </row>
    <row r="64" spans="1:11" ht="15.75" customHeight="1" x14ac:dyDescent="0.25">
      <c r="A64" s="51"/>
      <c r="B64" s="21"/>
      <c r="C64" s="21"/>
      <c r="D64" s="21"/>
      <c r="G64" s="21"/>
      <c r="H64" s="21"/>
      <c r="I64" s="21"/>
      <c r="J64" s="21"/>
    </row>
    <row r="65" spans="1:10" ht="15.75" customHeight="1" x14ac:dyDescent="0.2"/>
    <row r="66" spans="1:10" ht="15.75" customHeight="1" x14ac:dyDescent="0.2">
      <c r="A66" s="114" t="s">
        <v>36</v>
      </c>
      <c r="B66" s="114"/>
      <c r="C66" s="114"/>
      <c r="D66" s="114"/>
      <c r="E66" s="114"/>
      <c r="F66" s="114"/>
      <c r="G66" s="114"/>
      <c r="H66" s="114"/>
      <c r="I66" s="114"/>
      <c r="J66" s="114"/>
    </row>
    <row r="67" spans="1:10" ht="15.75" customHeight="1" x14ac:dyDescent="0.2">
      <c r="A67" s="115"/>
      <c r="B67" s="115"/>
      <c r="C67" s="115"/>
      <c r="D67" s="115"/>
      <c r="E67" s="115"/>
      <c r="F67" s="115"/>
      <c r="G67" s="115"/>
      <c r="H67" s="115"/>
      <c r="I67" s="115"/>
      <c r="J67" s="115"/>
    </row>
    <row r="68" spans="1:10" ht="15.75" customHeight="1" x14ac:dyDescent="0.2"/>
    <row r="69" spans="1:10" ht="15.75" customHeight="1" x14ac:dyDescent="0.2"/>
    <row r="70" spans="1:10" ht="15.75" customHeight="1" x14ac:dyDescent="0.2"/>
    <row r="71" spans="1:10" ht="15.75" customHeight="1" x14ac:dyDescent="0.2"/>
    <row r="72" spans="1:10" ht="15.75" customHeight="1" x14ac:dyDescent="0.2"/>
    <row r="73" spans="1:10" ht="15.75" customHeight="1" x14ac:dyDescent="0.2"/>
    <row r="74" spans="1:10" ht="15.75" customHeight="1" x14ac:dyDescent="0.2"/>
    <row r="75" spans="1:10" ht="15.75" customHeight="1" x14ac:dyDescent="0.2"/>
    <row r="76" spans="1:10" ht="15.75" customHeight="1" x14ac:dyDescent="0.2"/>
    <row r="77" spans="1:10" ht="15.75" customHeight="1" x14ac:dyDescent="0.2"/>
    <row r="78" spans="1:10" ht="15.75" customHeight="1" x14ac:dyDescent="0.2"/>
    <row r="79" spans="1:10" ht="15.75" customHeight="1" x14ac:dyDescent="0.2"/>
    <row r="80" spans="1:1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</sheetData>
  <mergeCells count="46">
    <mergeCell ref="A33:D33"/>
    <mergeCell ref="A32:D32"/>
    <mergeCell ref="A30:D30"/>
    <mergeCell ref="A29:D29"/>
    <mergeCell ref="A28:D28"/>
    <mergeCell ref="A38:D38"/>
    <mergeCell ref="A37:D37"/>
    <mergeCell ref="A36:D36"/>
    <mergeCell ref="A35:D35"/>
    <mergeCell ref="A34:D34"/>
    <mergeCell ref="G53:H53"/>
    <mergeCell ref="G54:H54"/>
    <mergeCell ref="A66:J67"/>
    <mergeCell ref="A46:D46"/>
    <mergeCell ref="A47:D47"/>
    <mergeCell ref="A48:D48"/>
    <mergeCell ref="F48:H48"/>
    <mergeCell ref="G52:H52"/>
    <mergeCell ref="A58:D58"/>
    <mergeCell ref="A59:D59"/>
    <mergeCell ref="A60:D60"/>
    <mergeCell ref="A61:D61"/>
    <mergeCell ref="A62:D62"/>
    <mergeCell ref="A63:D63"/>
    <mergeCell ref="A45:D45"/>
    <mergeCell ref="E17:J17"/>
    <mergeCell ref="E18:J18"/>
    <mergeCell ref="A24:D24"/>
    <mergeCell ref="A25:D25"/>
    <mergeCell ref="A26:D26"/>
    <mergeCell ref="A31:D31"/>
    <mergeCell ref="A20:G21"/>
    <mergeCell ref="H20:J21"/>
    <mergeCell ref="A40:D40"/>
    <mergeCell ref="A41:D41"/>
    <mergeCell ref="A42:D42"/>
    <mergeCell ref="A43:D43"/>
    <mergeCell ref="A44:D44"/>
    <mergeCell ref="A27:D27"/>
    <mergeCell ref="A39:D39"/>
    <mergeCell ref="E16:J16"/>
    <mergeCell ref="E11:J11"/>
    <mergeCell ref="E12:J12"/>
    <mergeCell ref="E13:J13"/>
    <mergeCell ref="E14:J14"/>
    <mergeCell ref="E15:J15"/>
  </mergeCells>
  <printOptions horizontalCentered="1"/>
  <pageMargins left="0.23622047244094491" right="0.23622047244094491" top="0.74803149606299213" bottom="0.74803149606299213" header="0" footer="0"/>
  <pageSetup paperSize="9" scale="5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X1011"/>
  <sheetViews>
    <sheetView tabSelected="1" view="pageBreakPreview" topLeftCell="A18" zoomScaleNormal="100" zoomScaleSheetLayoutView="100" workbookViewId="0">
      <selection activeCell="H46" sqref="H46"/>
    </sheetView>
  </sheetViews>
  <sheetFormatPr baseColWidth="10" defaultColWidth="14.42578125" defaultRowHeight="15" customHeight="1" x14ac:dyDescent="0.2"/>
  <cols>
    <col min="1" max="2" width="10.7109375" style="1" customWidth="1"/>
    <col min="3" max="3" width="29.28515625" style="1" customWidth="1"/>
    <col min="4" max="4" width="6.42578125" style="1" customWidth="1"/>
    <col min="5" max="5" width="11.42578125" style="1" customWidth="1"/>
    <col min="6" max="6" width="24.7109375" style="1" customWidth="1"/>
    <col min="7" max="7" width="10.7109375" style="1" customWidth="1"/>
    <col min="8" max="8" width="41.7109375" style="1" customWidth="1"/>
    <col min="9" max="24" width="10.7109375" style="1" customWidth="1"/>
    <col min="25" max="16384" width="14.42578125" style="1"/>
  </cols>
  <sheetData>
    <row r="1" spans="1:24" ht="15" customHeight="1" x14ac:dyDescent="0.2">
      <c r="H1" s="52"/>
      <c r="I1" s="52"/>
      <c r="J1" s="62">
        <v>102</v>
      </c>
    </row>
    <row r="2" spans="1:24" ht="23.25" x14ac:dyDescent="0.35">
      <c r="F2" s="3"/>
      <c r="G2" s="63" t="s">
        <v>40</v>
      </c>
      <c r="H2" s="52"/>
      <c r="I2" s="52"/>
      <c r="J2" s="53" t="s">
        <v>91</v>
      </c>
    </row>
    <row r="3" spans="1:24" ht="23.25" x14ac:dyDescent="0.35">
      <c r="G3" s="63" t="str">
        <f>CONCATENATE("Ref : 2020 - 0",J1)</f>
        <v>Ref : 2020 - 0102</v>
      </c>
      <c r="J3" s="53" t="s">
        <v>91</v>
      </c>
    </row>
    <row r="4" spans="1:24" ht="23.25" x14ac:dyDescent="0.35">
      <c r="G4" s="64" t="str">
        <f>CONCATENATE("Date de facturation : ",TEXT(J2,"dd/mm/yyyy"))</f>
        <v>Date de facturation : 27/10/2020</v>
      </c>
      <c r="J4" s="54" t="s">
        <v>35</v>
      </c>
    </row>
    <row r="5" spans="1:24" ht="23.25" x14ac:dyDescent="0.35">
      <c r="G5" s="64" t="str">
        <f>CONCATENATE("Date d''échéance : ",TEXT(J3,"dd/mm/yyyy"))</f>
        <v>Date d''échéance : 27/10/2020</v>
      </c>
      <c r="J5" s="55">
        <v>4500</v>
      </c>
    </row>
    <row r="6" spans="1:24" x14ac:dyDescent="0.25">
      <c r="E6" s="4"/>
      <c r="J6" s="69">
        <v>0</v>
      </c>
    </row>
    <row r="9" spans="1:24" x14ac:dyDescent="0.25">
      <c r="A9" s="4" t="s">
        <v>1</v>
      </c>
      <c r="E9" s="4" t="s">
        <v>2</v>
      </c>
    </row>
    <row r="10" spans="1:24" ht="5.25" customHeight="1" x14ac:dyDescent="0.2"/>
    <row r="11" spans="1:24" ht="21" x14ac:dyDescent="0.35">
      <c r="A11" s="5" t="s">
        <v>3</v>
      </c>
      <c r="B11" s="6"/>
      <c r="C11" s="7"/>
      <c r="D11" s="2"/>
      <c r="E11" s="93" t="s">
        <v>92</v>
      </c>
      <c r="F11" s="94"/>
      <c r="G11" s="94"/>
      <c r="H11" s="95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</row>
    <row r="12" spans="1:24" x14ac:dyDescent="0.25">
      <c r="A12" s="8" t="s">
        <v>4</v>
      </c>
      <c r="B12" s="9"/>
      <c r="C12" s="10"/>
      <c r="D12" s="4"/>
      <c r="E12" s="90" t="s">
        <v>93</v>
      </c>
      <c r="F12" s="91"/>
      <c r="G12" s="91"/>
      <c r="H12" s="92"/>
    </row>
    <row r="13" spans="1:24" x14ac:dyDescent="0.25">
      <c r="A13" s="8" t="s">
        <v>5</v>
      </c>
      <c r="B13" s="9"/>
      <c r="C13" s="10"/>
      <c r="D13" s="4"/>
      <c r="E13" s="90" t="s">
        <v>74</v>
      </c>
      <c r="F13" s="91"/>
      <c r="G13" s="91"/>
      <c r="H13" s="92"/>
    </row>
    <row r="14" spans="1:24" x14ac:dyDescent="0.25">
      <c r="A14" s="8" t="s">
        <v>6</v>
      </c>
      <c r="B14" s="9"/>
      <c r="C14" s="10"/>
      <c r="D14" s="4"/>
      <c r="E14" s="90" t="s">
        <v>6</v>
      </c>
      <c r="F14" s="91"/>
      <c r="G14" s="91"/>
      <c r="H14" s="92"/>
    </row>
    <row r="15" spans="1:24" x14ac:dyDescent="0.25">
      <c r="A15" s="8"/>
      <c r="B15" s="9"/>
      <c r="C15" s="10"/>
      <c r="D15" s="4"/>
      <c r="E15" s="90"/>
      <c r="F15" s="91"/>
      <c r="G15" s="91"/>
      <c r="H15" s="92"/>
    </row>
    <row r="16" spans="1:24" x14ac:dyDescent="0.25">
      <c r="A16" s="8" t="s">
        <v>7</v>
      </c>
      <c r="B16" s="9"/>
      <c r="C16" s="10"/>
      <c r="D16" s="4"/>
      <c r="E16" s="90"/>
      <c r="F16" s="91"/>
      <c r="G16" s="91"/>
      <c r="H16" s="92"/>
    </row>
    <row r="17" spans="1:24" x14ac:dyDescent="0.25">
      <c r="A17" s="8" t="s">
        <v>8</v>
      </c>
      <c r="B17" s="9"/>
      <c r="C17" s="10"/>
      <c r="D17" s="4"/>
      <c r="E17" s="90"/>
      <c r="F17" s="91"/>
      <c r="G17" s="91"/>
      <c r="H17" s="92"/>
    </row>
    <row r="18" spans="1:24" x14ac:dyDescent="0.25">
      <c r="A18" s="11" t="s">
        <v>9</v>
      </c>
      <c r="B18" s="12"/>
      <c r="C18" s="13"/>
      <c r="D18" s="4"/>
      <c r="E18" s="99"/>
      <c r="F18" s="100"/>
      <c r="G18" s="100"/>
      <c r="H18" s="101"/>
    </row>
    <row r="21" spans="1:24" ht="14.25" x14ac:dyDescent="0.2"/>
    <row r="22" spans="1:24" ht="38.25" customHeight="1" x14ac:dyDescent="0.2">
      <c r="A22" s="102" t="s">
        <v>11</v>
      </c>
      <c r="B22" s="102"/>
      <c r="C22" s="102"/>
      <c r="D22" s="102"/>
      <c r="E22" s="14" t="s">
        <v>12</v>
      </c>
      <c r="F22" s="14" t="s">
        <v>13</v>
      </c>
      <c r="G22" s="15" t="s">
        <v>37</v>
      </c>
      <c r="H22" s="14" t="s">
        <v>14</v>
      </c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</row>
    <row r="23" spans="1:24" ht="29.25" customHeight="1" x14ac:dyDescent="0.2">
      <c r="A23" s="103" t="s">
        <v>94</v>
      </c>
      <c r="B23" s="104"/>
      <c r="C23" s="104"/>
      <c r="D23" s="105"/>
      <c r="E23" s="79">
        <v>0</v>
      </c>
      <c r="F23" s="81">
        <v>600000</v>
      </c>
      <c r="G23" s="80">
        <v>1</v>
      </c>
      <c r="H23" s="81">
        <f>+F23*G23</f>
        <v>600000</v>
      </c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</row>
    <row r="24" spans="1:24" ht="29.25" customHeight="1" x14ac:dyDescent="0.2">
      <c r="A24" s="106"/>
      <c r="B24" s="107"/>
      <c r="C24" s="107"/>
      <c r="D24" s="108"/>
      <c r="E24" s="79"/>
      <c r="F24" s="82"/>
      <c r="G24" s="80"/>
      <c r="H24" s="82">
        <f t="shared" ref="H24:H45" si="0">+F24*G24</f>
        <v>0</v>
      </c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</row>
    <row r="25" spans="1:24" ht="29.25" customHeight="1" x14ac:dyDescent="0.2">
      <c r="A25" s="106"/>
      <c r="B25" s="107"/>
      <c r="C25" s="107"/>
      <c r="D25" s="108"/>
      <c r="E25" s="79"/>
      <c r="F25" s="82"/>
      <c r="G25" s="80"/>
      <c r="H25" s="82">
        <f t="shared" si="0"/>
        <v>0</v>
      </c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</row>
    <row r="26" spans="1:24" ht="29.25" customHeight="1" x14ac:dyDescent="0.2">
      <c r="A26" s="106"/>
      <c r="B26" s="107"/>
      <c r="C26" s="107"/>
      <c r="D26" s="108"/>
      <c r="E26" s="79"/>
      <c r="F26" s="82"/>
      <c r="G26" s="80"/>
      <c r="H26" s="82">
        <f t="shared" si="0"/>
        <v>0</v>
      </c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</row>
    <row r="27" spans="1:24" ht="29.25" customHeight="1" x14ac:dyDescent="0.2">
      <c r="A27" s="106"/>
      <c r="B27" s="107"/>
      <c r="C27" s="107"/>
      <c r="D27" s="108"/>
      <c r="E27" s="79"/>
      <c r="F27" s="82"/>
      <c r="G27" s="80"/>
      <c r="H27" s="82">
        <f t="shared" si="0"/>
        <v>0</v>
      </c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</row>
    <row r="28" spans="1:24" ht="29.25" customHeight="1" x14ac:dyDescent="0.2">
      <c r="A28" s="106"/>
      <c r="B28" s="107"/>
      <c r="C28" s="107"/>
      <c r="D28" s="108"/>
      <c r="E28" s="79"/>
      <c r="F28" s="82"/>
      <c r="G28" s="80"/>
      <c r="H28" s="82">
        <f t="shared" si="0"/>
        <v>0</v>
      </c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</row>
    <row r="29" spans="1:24" ht="29.25" customHeight="1" x14ac:dyDescent="0.2">
      <c r="A29" s="96"/>
      <c r="B29" s="97"/>
      <c r="C29" s="97"/>
      <c r="D29" s="98"/>
      <c r="E29" s="80"/>
      <c r="F29" s="83"/>
      <c r="G29" s="80"/>
      <c r="H29" s="82">
        <f t="shared" si="0"/>
        <v>0</v>
      </c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</row>
    <row r="30" spans="1:24" ht="29.25" customHeight="1" x14ac:dyDescent="0.2">
      <c r="A30" s="96"/>
      <c r="B30" s="97"/>
      <c r="C30" s="97"/>
      <c r="D30" s="98"/>
      <c r="E30" s="80"/>
      <c r="F30" s="83"/>
      <c r="G30" s="80"/>
      <c r="H30" s="82">
        <f t="shared" si="0"/>
        <v>0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</row>
    <row r="31" spans="1:24" ht="29.25" customHeight="1" x14ac:dyDescent="0.2">
      <c r="A31" s="96"/>
      <c r="B31" s="97"/>
      <c r="C31" s="97"/>
      <c r="D31" s="98"/>
      <c r="E31" s="80"/>
      <c r="F31" s="83"/>
      <c r="G31" s="80"/>
      <c r="H31" s="82">
        <f t="shared" si="0"/>
        <v>0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</row>
    <row r="32" spans="1:24" ht="29.25" customHeight="1" x14ac:dyDescent="0.2">
      <c r="A32" s="96"/>
      <c r="B32" s="97"/>
      <c r="C32" s="97"/>
      <c r="D32" s="98"/>
      <c r="E32" s="80"/>
      <c r="F32" s="83"/>
      <c r="G32" s="80"/>
      <c r="H32" s="82">
        <f t="shared" si="0"/>
        <v>0</v>
      </c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</row>
    <row r="33" spans="1:24" ht="29.25" customHeight="1" x14ac:dyDescent="0.2">
      <c r="A33" s="96"/>
      <c r="B33" s="97"/>
      <c r="C33" s="97"/>
      <c r="D33" s="98"/>
      <c r="E33" s="80"/>
      <c r="F33" s="83"/>
      <c r="G33" s="80"/>
      <c r="H33" s="82">
        <f t="shared" si="0"/>
        <v>0</v>
      </c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</row>
    <row r="34" spans="1:24" ht="29.25" customHeight="1" x14ac:dyDescent="0.2">
      <c r="A34" s="96"/>
      <c r="B34" s="97"/>
      <c r="C34" s="97"/>
      <c r="D34" s="98"/>
      <c r="E34" s="80"/>
      <c r="F34" s="83"/>
      <c r="G34" s="80"/>
      <c r="H34" s="82">
        <f t="shared" si="0"/>
        <v>0</v>
      </c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</row>
    <row r="35" spans="1:24" ht="29.25" customHeight="1" x14ac:dyDescent="0.2">
      <c r="A35" s="96"/>
      <c r="B35" s="97"/>
      <c r="C35" s="97"/>
      <c r="D35" s="98"/>
      <c r="E35" s="80"/>
      <c r="F35" s="83"/>
      <c r="G35" s="80"/>
      <c r="H35" s="82">
        <f t="shared" si="0"/>
        <v>0</v>
      </c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</row>
    <row r="36" spans="1:24" ht="29.25" customHeight="1" x14ac:dyDescent="0.2">
      <c r="A36" s="96"/>
      <c r="B36" s="97"/>
      <c r="C36" s="97"/>
      <c r="D36" s="98"/>
      <c r="E36" s="80"/>
      <c r="F36" s="83"/>
      <c r="G36" s="80"/>
      <c r="H36" s="82">
        <f t="shared" si="0"/>
        <v>0</v>
      </c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</row>
    <row r="37" spans="1:24" ht="29.25" customHeight="1" x14ac:dyDescent="0.2">
      <c r="A37" s="96"/>
      <c r="B37" s="97"/>
      <c r="C37" s="97"/>
      <c r="D37" s="98"/>
      <c r="E37" s="80"/>
      <c r="F37" s="83"/>
      <c r="G37" s="80"/>
      <c r="H37" s="82">
        <f t="shared" si="0"/>
        <v>0</v>
      </c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</row>
    <row r="38" spans="1:24" ht="29.25" customHeight="1" x14ac:dyDescent="0.2">
      <c r="A38" s="96"/>
      <c r="B38" s="109"/>
      <c r="C38" s="109"/>
      <c r="D38" s="110"/>
      <c r="E38" s="80"/>
      <c r="F38" s="83"/>
      <c r="G38" s="80"/>
      <c r="H38" s="82">
        <f t="shared" si="0"/>
        <v>0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</row>
    <row r="39" spans="1:24" ht="29.25" customHeight="1" x14ac:dyDescent="0.2">
      <c r="A39" s="96"/>
      <c r="B39" s="109"/>
      <c r="C39" s="109"/>
      <c r="D39" s="110"/>
      <c r="E39" s="80"/>
      <c r="F39" s="83"/>
      <c r="G39" s="80"/>
      <c r="H39" s="82">
        <f t="shared" si="0"/>
        <v>0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</row>
    <row r="40" spans="1:24" ht="29.25" customHeight="1" x14ac:dyDescent="0.2">
      <c r="A40" s="96"/>
      <c r="B40" s="109"/>
      <c r="C40" s="109"/>
      <c r="D40" s="110"/>
      <c r="E40" s="80"/>
      <c r="F40" s="83"/>
      <c r="G40" s="80"/>
      <c r="H40" s="82">
        <f t="shared" si="0"/>
        <v>0</v>
      </c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</row>
    <row r="41" spans="1:24" ht="29.25" customHeight="1" x14ac:dyDescent="0.2">
      <c r="A41" s="96"/>
      <c r="B41" s="109"/>
      <c r="C41" s="109"/>
      <c r="D41" s="110"/>
      <c r="E41" s="80"/>
      <c r="F41" s="83"/>
      <c r="G41" s="80"/>
      <c r="H41" s="82">
        <f t="shared" si="0"/>
        <v>0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</row>
    <row r="42" spans="1:24" ht="29.25" customHeight="1" x14ac:dyDescent="0.2">
      <c r="A42" s="96"/>
      <c r="B42" s="109"/>
      <c r="C42" s="109"/>
      <c r="D42" s="110"/>
      <c r="E42" s="80"/>
      <c r="F42" s="83"/>
      <c r="G42" s="80"/>
      <c r="H42" s="82">
        <f t="shared" si="0"/>
        <v>0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</row>
    <row r="43" spans="1:24" ht="29.25" customHeight="1" x14ac:dyDescent="0.2">
      <c r="A43" s="96"/>
      <c r="B43" s="109"/>
      <c r="C43" s="109"/>
      <c r="D43" s="110"/>
      <c r="E43" s="80"/>
      <c r="F43" s="83"/>
      <c r="G43" s="80"/>
      <c r="H43" s="82">
        <f t="shared" si="0"/>
        <v>0</v>
      </c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</row>
    <row r="44" spans="1:24" ht="29.25" customHeight="1" x14ac:dyDescent="0.2">
      <c r="A44" s="96"/>
      <c r="B44" s="109"/>
      <c r="C44" s="109"/>
      <c r="D44" s="110"/>
      <c r="E44" s="80"/>
      <c r="F44" s="83"/>
      <c r="G44" s="80"/>
      <c r="H44" s="82">
        <f t="shared" si="0"/>
        <v>0</v>
      </c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</row>
    <row r="45" spans="1:24" ht="29.25" customHeight="1" x14ac:dyDescent="0.2">
      <c r="A45" s="116"/>
      <c r="B45" s="117"/>
      <c r="C45" s="117"/>
      <c r="D45" s="118"/>
      <c r="E45" s="80"/>
      <c r="F45" s="83"/>
      <c r="G45" s="80"/>
      <c r="H45" s="78">
        <f t="shared" si="0"/>
        <v>0</v>
      </c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</row>
    <row r="46" spans="1:24" ht="29.25" customHeight="1" x14ac:dyDescent="0.2">
      <c r="A46" s="119"/>
      <c r="B46" s="120"/>
      <c r="C46" s="120"/>
      <c r="D46" s="120"/>
      <c r="E46" s="84"/>
      <c r="F46" s="136" t="s">
        <v>15</v>
      </c>
      <c r="G46" s="137"/>
      <c r="H46" s="29">
        <f>+SUM(H23:H45)</f>
        <v>600000</v>
      </c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</row>
    <row r="47" spans="1:24" ht="15.75" customHeight="1" x14ac:dyDescent="0.25">
      <c r="A47" s="4"/>
      <c r="B47" s="4"/>
      <c r="C47" s="4"/>
      <c r="D47" s="4"/>
      <c r="E47" s="4"/>
      <c r="F47" s="4"/>
      <c r="G47" s="4"/>
      <c r="H47" s="4"/>
    </row>
    <row r="48" spans="1:24" ht="15.75" customHeight="1" x14ac:dyDescent="0.25">
      <c r="A48" s="4"/>
    </row>
    <row r="49" spans="1:9" ht="15.75" customHeight="1" x14ac:dyDescent="0.25">
      <c r="A49" s="33" t="s">
        <v>70</v>
      </c>
      <c r="B49" s="34"/>
      <c r="C49" s="34"/>
      <c r="D49" s="48"/>
      <c r="F49" s="74"/>
      <c r="G49" s="74"/>
      <c r="H49" s="87" t="s">
        <v>16</v>
      </c>
    </row>
    <row r="50" spans="1:9" ht="30" customHeight="1" x14ac:dyDescent="0.2">
      <c r="A50" s="151" t="s">
        <v>95</v>
      </c>
      <c r="B50" s="152"/>
      <c r="C50" s="152"/>
      <c r="D50" s="153"/>
      <c r="F50" s="157" t="s">
        <v>17</v>
      </c>
      <c r="G50" s="156"/>
      <c r="H50" s="85">
        <f t="shared" ref="H50" si="1">+H46</f>
        <v>600000</v>
      </c>
    </row>
    <row r="51" spans="1:9" ht="30" customHeight="1" x14ac:dyDescent="0.2">
      <c r="A51" s="151"/>
      <c r="B51" s="152"/>
      <c r="C51" s="152"/>
      <c r="D51" s="153"/>
      <c r="F51" s="157" t="str">
        <f>CONCATENATE("Total  TVA ", TEXT(J6,"0%"))</f>
        <v>Total  TVA 0%</v>
      </c>
      <c r="G51" s="156"/>
      <c r="H51" s="85">
        <f>+H50*J6</f>
        <v>0</v>
      </c>
    </row>
    <row r="52" spans="1:9" ht="30" customHeight="1" x14ac:dyDescent="0.2">
      <c r="A52" s="148"/>
      <c r="B52" s="149"/>
      <c r="C52" s="149"/>
      <c r="D52" s="150"/>
      <c r="F52" s="155" t="s">
        <v>18</v>
      </c>
      <c r="G52" s="156"/>
      <c r="H52" s="86">
        <f>+H50+H51</f>
        <v>600000</v>
      </c>
    </row>
    <row r="53" spans="1:9" ht="15.75" customHeight="1" x14ac:dyDescent="0.2">
      <c r="A53" s="154"/>
      <c r="B53" s="154"/>
      <c r="C53" s="154"/>
    </row>
    <row r="54" spans="1:9" ht="15.75" customHeight="1" x14ac:dyDescent="0.25">
      <c r="A54" s="123" t="s">
        <v>19</v>
      </c>
      <c r="B54" s="124"/>
      <c r="C54" s="124"/>
      <c r="D54" s="125"/>
      <c r="F54" s="147" t="str">
        <f>CONCATENATE("Arrêté la présente facture à la somme de : ",ConvNumberLetter(H52 ))</f>
        <v>Arrêté la présente facture à la somme de : six cents mille ariary</v>
      </c>
      <c r="G54" s="147"/>
      <c r="H54" s="147"/>
    </row>
    <row r="55" spans="1:9" ht="15.75" customHeight="1" x14ac:dyDescent="0.25">
      <c r="A55" s="90" t="s">
        <v>21</v>
      </c>
      <c r="B55" s="126"/>
      <c r="C55" s="126"/>
      <c r="D55" s="127"/>
      <c r="F55" s="147"/>
      <c r="G55" s="147"/>
      <c r="H55" s="147"/>
    </row>
    <row r="56" spans="1:9" ht="15.75" customHeight="1" x14ac:dyDescent="0.25">
      <c r="A56" s="90" t="s">
        <v>22</v>
      </c>
      <c r="B56" s="126"/>
      <c r="C56" s="126"/>
      <c r="D56" s="127"/>
      <c r="F56" s="147"/>
      <c r="G56" s="147"/>
      <c r="H56" s="147"/>
    </row>
    <row r="57" spans="1:9" ht="15.75" customHeight="1" x14ac:dyDescent="0.25">
      <c r="A57" s="90" t="s">
        <v>23</v>
      </c>
      <c r="B57" s="126"/>
      <c r="C57" s="126"/>
      <c r="D57" s="127"/>
      <c r="F57" s="147"/>
      <c r="G57" s="147"/>
      <c r="H57" s="147"/>
    </row>
    <row r="58" spans="1:9" ht="15.75" customHeight="1" x14ac:dyDescent="0.25">
      <c r="A58" s="90" t="s">
        <v>24</v>
      </c>
      <c r="B58" s="126"/>
      <c r="C58" s="126"/>
      <c r="D58" s="127"/>
      <c r="F58" s="147"/>
      <c r="G58" s="147"/>
      <c r="H58" s="147"/>
    </row>
    <row r="59" spans="1:9" ht="15.75" customHeight="1" x14ac:dyDescent="0.25">
      <c r="A59" s="99" t="s">
        <v>25</v>
      </c>
      <c r="B59" s="128"/>
      <c r="C59" s="128"/>
      <c r="D59" s="129"/>
      <c r="F59" s="147"/>
      <c r="G59" s="147"/>
      <c r="H59" s="147"/>
      <c r="I59" s="39"/>
    </row>
    <row r="60" spans="1:9" ht="15.75" customHeight="1" x14ac:dyDescent="0.2">
      <c r="I60" s="37"/>
    </row>
    <row r="61" spans="1:9" ht="15.75" customHeight="1" x14ac:dyDescent="0.2">
      <c r="I61" s="40"/>
    </row>
    <row r="62" spans="1:9" ht="15.75" customHeight="1" x14ac:dyDescent="0.2"/>
    <row r="63" spans="1:9" ht="15.75" customHeight="1" x14ac:dyDescent="0.2"/>
    <row r="64" spans="1:9" ht="15.75" customHeight="1" x14ac:dyDescent="0.25">
      <c r="A64" s="51"/>
      <c r="B64" s="21"/>
      <c r="C64" s="21"/>
      <c r="D64" s="21"/>
    </row>
    <row r="65" spans="1:8" ht="15.75" customHeight="1" x14ac:dyDescent="0.2">
      <c r="F65" s="21"/>
      <c r="G65" s="21"/>
      <c r="H65" s="21"/>
    </row>
    <row r="66" spans="1:8" ht="15.75" customHeight="1" x14ac:dyDescent="0.2"/>
    <row r="67" spans="1:8" ht="15.75" customHeight="1" x14ac:dyDescent="0.2">
      <c r="A67" s="114" t="s">
        <v>36</v>
      </c>
      <c r="B67" s="114"/>
      <c r="C67" s="114"/>
      <c r="D67" s="114"/>
      <c r="E67" s="114"/>
      <c r="F67" s="114"/>
      <c r="G67" s="114"/>
      <c r="H67" s="114"/>
    </row>
    <row r="68" spans="1:8" ht="15.75" customHeight="1" x14ac:dyDescent="0.2">
      <c r="A68" s="71"/>
      <c r="B68" s="71"/>
      <c r="C68" s="71"/>
      <c r="D68" s="71"/>
      <c r="E68" s="71"/>
      <c r="F68" s="71"/>
      <c r="G68" s="71"/>
      <c r="H68" s="71"/>
    </row>
    <row r="69" spans="1:8" ht="15.75" customHeight="1" x14ac:dyDescent="0.2"/>
    <row r="70" spans="1:8" ht="15.75" customHeight="1" x14ac:dyDescent="0.2"/>
    <row r="71" spans="1:8" ht="15.75" customHeight="1" x14ac:dyDescent="0.2"/>
    <row r="72" spans="1:8" ht="15.75" customHeight="1" x14ac:dyDescent="0.2"/>
    <row r="73" spans="1:8" ht="15.75" customHeight="1" x14ac:dyDescent="0.2"/>
    <row r="74" spans="1:8" ht="15.75" customHeight="1" x14ac:dyDescent="0.2"/>
    <row r="75" spans="1:8" ht="15.75" customHeight="1" x14ac:dyDescent="0.2"/>
    <row r="76" spans="1:8" ht="15.75" customHeight="1" x14ac:dyDescent="0.2"/>
    <row r="77" spans="1:8" ht="15.75" customHeight="1" x14ac:dyDescent="0.2"/>
    <row r="78" spans="1:8" ht="15.75" customHeight="1" x14ac:dyDescent="0.2"/>
    <row r="79" spans="1:8" ht="15.75" customHeight="1" x14ac:dyDescent="0.2"/>
    <row r="80" spans="1:8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</sheetData>
  <mergeCells count="49">
    <mergeCell ref="A44:D44"/>
    <mergeCell ref="A45:D45"/>
    <mergeCell ref="A46:D46"/>
    <mergeCell ref="F46:G46"/>
    <mergeCell ref="F50:G50"/>
    <mergeCell ref="A43:D43"/>
    <mergeCell ref="A32:D32"/>
    <mergeCell ref="A33:D33"/>
    <mergeCell ref="A34:D34"/>
    <mergeCell ref="A35:D35"/>
    <mergeCell ref="A36:D36"/>
    <mergeCell ref="A37:D37"/>
    <mergeCell ref="A38:D38"/>
    <mergeCell ref="A39:D39"/>
    <mergeCell ref="A40:D40"/>
    <mergeCell ref="A41:D41"/>
    <mergeCell ref="A42:D42"/>
    <mergeCell ref="A31:D31"/>
    <mergeCell ref="E17:H17"/>
    <mergeCell ref="E18:H18"/>
    <mergeCell ref="A22:D22"/>
    <mergeCell ref="A23:D23"/>
    <mergeCell ref="A24:D24"/>
    <mergeCell ref="A25:D25"/>
    <mergeCell ref="A26:D26"/>
    <mergeCell ref="A27:D27"/>
    <mergeCell ref="A28:D28"/>
    <mergeCell ref="A29:D29"/>
    <mergeCell ref="A30:D30"/>
    <mergeCell ref="E16:H16"/>
    <mergeCell ref="E11:H11"/>
    <mergeCell ref="E12:H12"/>
    <mergeCell ref="E13:H13"/>
    <mergeCell ref="E14:H14"/>
    <mergeCell ref="E15:H15"/>
    <mergeCell ref="F54:H59"/>
    <mergeCell ref="A52:D52"/>
    <mergeCell ref="A51:D51"/>
    <mergeCell ref="A50:D50"/>
    <mergeCell ref="A67:H67"/>
    <mergeCell ref="A54:D54"/>
    <mergeCell ref="A55:D55"/>
    <mergeCell ref="A56:D56"/>
    <mergeCell ref="A57:D57"/>
    <mergeCell ref="A53:C53"/>
    <mergeCell ref="A59:D59"/>
    <mergeCell ref="A58:D58"/>
    <mergeCell ref="F52:G52"/>
    <mergeCell ref="F51:G51"/>
  </mergeCells>
  <printOptions horizontalCentered="1"/>
  <pageMargins left="0.23622047244094491" right="0.23622047244094491" top="0.74803149606299213" bottom="0.74803149606299213" header="0" footer="0"/>
  <pageSetup paperSize="9" scale="51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Z1014"/>
  <sheetViews>
    <sheetView view="pageBreakPreview" topLeftCell="A47" zoomScaleNormal="100" zoomScaleSheetLayoutView="100" workbookViewId="0">
      <selection activeCell="F48" sqref="F48:H48"/>
    </sheetView>
  </sheetViews>
  <sheetFormatPr baseColWidth="10" defaultColWidth="14.42578125" defaultRowHeight="15" customHeight="1" x14ac:dyDescent="0.2"/>
  <cols>
    <col min="1" max="2" width="10.7109375" style="1" customWidth="1"/>
    <col min="3" max="3" width="29.28515625" style="1" customWidth="1"/>
    <col min="4" max="4" width="6.42578125" style="1" customWidth="1"/>
    <col min="5" max="5" width="11.42578125" style="1" customWidth="1"/>
    <col min="6" max="6" width="15" style="1" customWidth="1"/>
    <col min="7" max="7" width="24.7109375" style="1" customWidth="1"/>
    <col min="8" max="8" width="10.7109375" style="1" customWidth="1"/>
    <col min="9" max="9" width="17.28515625" style="1" customWidth="1"/>
    <col min="10" max="10" width="21.28515625" style="1" bestFit="1" customWidth="1"/>
    <col min="11" max="26" width="10.7109375" style="1" customWidth="1"/>
    <col min="27" max="16384" width="14.42578125" style="1"/>
  </cols>
  <sheetData>
    <row r="1" spans="1:26" ht="15" customHeight="1" x14ac:dyDescent="0.2">
      <c r="J1" s="52"/>
      <c r="K1" s="52"/>
      <c r="L1" s="62">
        <v>104</v>
      </c>
    </row>
    <row r="2" spans="1:26" ht="23.25" x14ac:dyDescent="0.35">
      <c r="G2" s="3"/>
      <c r="H2" s="63" t="s">
        <v>40</v>
      </c>
      <c r="I2" s="3"/>
      <c r="J2" s="52"/>
      <c r="K2" s="52"/>
      <c r="L2" s="53" t="s">
        <v>64</v>
      </c>
    </row>
    <row r="3" spans="1:26" ht="23.25" x14ac:dyDescent="0.35">
      <c r="H3" s="65" t="str">
        <f>CONCATENATE("Ref : 2020 - 0",L1)</f>
        <v>Ref : 2020 - 0104</v>
      </c>
      <c r="L3" s="53" t="s">
        <v>81</v>
      </c>
    </row>
    <row r="4" spans="1:26" ht="23.25" x14ac:dyDescent="0.35">
      <c r="H4" s="64" t="str">
        <f>CONCATENATE("Date de facturation : ",TEXT(L2,"dd/mm/yyyy"))</f>
        <v>Date de facturation : 21/10/2020</v>
      </c>
      <c r="L4" s="54" t="s">
        <v>80</v>
      </c>
    </row>
    <row r="5" spans="1:26" ht="23.25" x14ac:dyDescent="0.35">
      <c r="H5" s="64" t="str">
        <f>CONCATENATE("Date d''échéance : ",TEXT(L3,"dd/mm/yyyy"))</f>
        <v>Date d''échéance : 21/11/2020</v>
      </c>
      <c r="L5" s="55">
        <v>4100</v>
      </c>
    </row>
    <row r="6" spans="1:26" x14ac:dyDescent="0.25">
      <c r="E6" s="4"/>
      <c r="L6" s="69">
        <v>0</v>
      </c>
    </row>
    <row r="7" spans="1:26" ht="15" customHeight="1" x14ac:dyDescent="0.2">
      <c r="L7" s="1" t="s">
        <v>64</v>
      </c>
    </row>
    <row r="9" spans="1:26" x14ac:dyDescent="0.25">
      <c r="A9" s="4" t="s">
        <v>1</v>
      </c>
      <c r="E9" s="4" t="s">
        <v>2</v>
      </c>
    </row>
    <row r="10" spans="1:26" ht="5.25" customHeight="1" x14ac:dyDescent="0.2"/>
    <row r="11" spans="1:26" ht="21" x14ac:dyDescent="0.35">
      <c r="A11" s="5" t="s">
        <v>3</v>
      </c>
      <c r="B11" s="6"/>
      <c r="C11" s="7"/>
      <c r="D11" s="2"/>
      <c r="E11" s="93" t="s">
        <v>82</v>
      </c>
      <c r="F11" s="94"/>
      <c r="G11" s="94"/>
      <c r="H11" s="94"/>
      <c r="I11" s="94"/>
      <c r="J11" s="95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8" t="s">
        <v>4</v>
      </c>
      <c r="B12" s="9"/>
      <c r="C12" s="10"/>
      <c r="D12" s="4"/>
      <c r="E12" s="90" t="s">
        <v>83</v>
      </c>
      <c r="F12" s="91"/>
      <c r="G12" s="91"/>
      <c r="H12" s="91"/>
      <c r="I12" s="91"/>
      <c r="J12" s="92"/>
    </row>
    <row r="13" spans="1:26" x14ac:dyDescent="0.25">
      <c r="A13" s="8" t="s">
        <v>5</v>
      </c>
      <c r="B13" s="9"/>
      <c r="C13" s="10"/>
      <c r="D13" s="4"/>
      <c r="E13" s="90" t="s">
        <v>74</v>
      </c>
      <c r="F13" s="91"/>
      <c r="G13" s="91"/>
      <c r="H13" s="91"/>
      <c r="I13" s="91"/>
      <c r="J13" s="92"/>
    </row>
    <row r="14" spans="1:26" x14ac:dyDescent="0.25">
      <c r="A14" s="8" t="s">
        <v>6</v>
      </c>
      <c r="B14" s="9"/>
      <c r="C14" s="10"/>
      <c r="D14" s="4"/>
      <c r="E14" s="90" t="s">
        <v>6</v>
      </c>
      <c r="F14" s="91"/>
      <c r="G14" s="91"/>
      <c r="H14" s="91"/>
      <c r="I14" s="91"/>
      <c r="J14" s="92"/>
    </row>
    <row r="15" spans="1:26" x14ac:dyDescent="0.25">
      <c r="A15" s="8"/>
      <c r="B15" s="9"/>
      <c r="C15" s="10"/>
      <c r="D15" s="4"/>
      <c r="E15" s="90"/>
      <c r="F15" s="91"/>
      <c r="G15" s="91"/>
      <c r="H15" s="91"/>
      <c r="I15" s="91"/>
      <c r="J15" s="92"/>
    </row>
    <row r="16" spans="1:26" x14ac:dyDescent="0.25">
      <c r="A16" s="8" t="s">
        <v>7</v>
      </c>
      <c r="B16" s="9"/>
      <c r="C16" s="10"/>
      <c r="D16" s="4"/>
      <c r="E16" s="90"/>
      <c r="F16" s="91"/>
      <c r="G16" s="91"/>
      <c r="H16" s="91"/>
      <c r="I16" s="91"/>
      <c r="J16" s="92"/>
    </row>
    <row r="17" spans="1:26" x14ac:dyDescent="0.25">
      <c r="A17" s="8" t="s">
        <v>8</v>
      </c>
      <c r="B17" s="9"/>
      <c r="C17" s="10"/>
      <c r="D17" s="4"/>
      <c r="E17" s="90"/>
      <c r="F17" s="91"/>
      <c r="G17" s="91"/>
      <c r="H17" s="91"/>
      <c r="I17" s="91"/>
      <c r="J17" s="92"/>
    </row>
    <row r="18" spans="1:26" x14ac:dyDescent="0.25">
      <c r="A18" s="11" t="s">
        <v>9</v>
      </c>
      <c r="B18" s="12"/>
      <c r="C18" s="13"/>
      <c r="D18" s="4"/>
      <c r="E18" s="99"/>
      <c r="F18" s="100"/>
      <c r="G18" s="100"/>
      <c r="H18" s="100"/>
      <c r="I18" s="100"/>
      <c r="J18" s="101"/>
    </row>
    <row r="20" spans="1:26" ht="15" customHeight="1" x14ac:dyDescent="0.2">
      <c r="A20" s="130" t="str">
        <f>CONCATENATE("Taux de change selon la Banque Centrale de Madagascar à la date de ", L7," :" )</f>
        <v>Taux de change selon la Banque Centrale de Madagascar à la date de 21/10/2020 :</v>
      </c>
      <c r="B20" s="131"/>
      <c r="C20" s="131"/>
      <c r="D20" s="131"/>
      <c r="E20" s="131"/>
      <c r="F20" s="131"/>
      <c r="G20" s="132"/>
      <c r="H20" s="130" t="str">
        <f>CONCATENATE("1 "," ",L4," = ", L5," Ar")</f>
        <v>1  $ = 4100 Ar</v>
      </c>
      <c r="I20" s="131"/>
      <c r="J20" s="132"/>
    </row>
    <row r="21" spans="1:26" ht="15" customHeight="1" x14ac:dyDescent="0.2">
      <c r="A21" s="133"/>
      <c r="B21" s="134"/>
      <c r="C21" s="134"/>
      <c r="D21" s="134"/>
      <c r="E21" s="134"/>
      <c r="F21" s="134"/>
      <c r="G21" s="135"/>
      <c r="H21" s="133"/>
      <c r="I21" s="134"/>
      <c r="J21" s="135"/>
    </row>
    <row r="23" spans="1:26" x14ac:dyDescent="0.25">
      <c r="I23" s="4" t="s">
        <v>10</v>
      </c>
    </row>
    <row r="24" spans="1:26" ht="38.25" customHeight="1" x14ac:dyDescent="0.2">
      <c r="A24" s="102" t="s">
        <v>11</v>
      </c>
      <c r="B24" s="102"/>
      <c r="C24" s="102"/>
      <c r="D24" s="102"/>
      <c r="E24" s="14" t="s">
        <v>12</v>
      </c>
      <c r="F24" s="15" t="str">
        <f>CONCATENATE("PU HT (en ",L4,")")</f>
        <v>PU HT (en $)</v>
      </c>
      <c r="G24" s="14" t="s">
        <v>13</v>
      </c>
      <c r="H24" s="15" t="s">
        <v>37</v>
      </c>
      <c r="I24" s="15" t="str">
        <f>CONCATENATE("TOTAL HT (en ",L4,")")</f>
        <v>TOTAL HT (en $)</v>
      </c>
      <c r="J24" s="14" t="s">
        <v>14</v>
      </c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ht="29.25" customHeight="1" x14ac:dyDescent="0.2">
      <c r="A25" s="103" t="s">
        <v>84</v>
      </c>
      <c r="B25" s="104"/>
      <c r="C25" s="104"/>
      <c r="D25" s="105"/>
      <c r="E25" s="17">
        <v>0</v>
      </c>
      <c r="F25" s="18">
        <v>150</v>
      </c>
      <c r="G25" s="18">
        <f t="shared" ref="G25:G47" si="0">+F25*L5</f>
        <v>615000</v>
      </c>
      <c r="H25" s="19">
        <v>20</v>
      </c>
      <c r="I25" s="20">
        <f>+F25*H25</f>
        <v>3000</v>
      </c>
      <c r="J25" s="20">
        <f>+G25*H25</f>
        <v>12300000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ht="29.25" customHeight="1" x14ac:dyDescent="0.2">
      <c r="A26" s="106"/>
      <c r="B26" s="107"/>
      <c r="C26" s="107"/>
      <c r="D26" s="108"/>
      <c r="E26" s="17"/>
      <c r="F26" s="18"/>
      <c r="G26" s="18">
        <f t="shared" si="0"/>
        <v>0</v>
      </c>
      <c r="H26" s="19"/>
      <c r="I26" s="20">
        <f t="shared" ref="I26:I30" si="1">+F26*H26</f>
        <v>0</v>
      </c>
      <c r="J26" s="20">
        <f t="shared" ref="J26:J30" si="2">+G26*H26</f>
        <v>0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29.25" customHeight="1" x14ac:dyDescent="0.2">
      <c r="A27" s="106"/>
      <c r="B27" s="107"/>
      <c r="C27" s="107"/>
      <c r="D27" s="108"/>
      <c r="E27" s="17"/>
      <c r="F27" s="18"/>
      <c r="G27" s="18">
        <f t="shared" si="0"/>
        <v>0</v>
      </c>
      <c r="H27" s="19"/>
      <c r="I27" s="20">
        <f t="shared" si="1"/>
        <v>0</v>
      </c>
      <c r="J27" s="20">
        <f t="shared" si="2"/>
        <v>0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ht="29.25" customHeight="1" x14ac:dyDescent="0.2">
      <c r="A28" s="106"/>
      <c r="B28" s="107"/>
      <c r="C28" s="107"/>
      <c r="D28" s="108"/>
      <c r="E28" s="17"/>
      <c r="F28" s="18"/>
      <c r="G28" s="18">
        <f t="shared" si="0"/>
        <v>0</v>
      </c>
      <c r="H28" s="19"/>
      <c r="I28" s="20">
        <f t="shared" si="1"/>
        <v>0</v>
      </c>
      <c r="J28" s="20">
        <f t="shared" si="2"/>
        <v>0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ht="29.25" customHeight="1" x14ac:dyDescent="0.2">
      <c r="A29" s="106"/>
      <c r="B29" s="107"/>
      <c r="C29" s="107"/>
      <c r="D29" s="108"/>
      <c r="E29" s="17"/>
      <c r="F29" s="18"/>
      <c r="G29" s="18">
        <f t="shared" si="0"/>
        <v>0</v>
      </c>
      <c r="H29" s="19"/>
      <c r="I29" s="20">
        <f t="shared" si="1"/>
        <v>0</v>
      </c>
      <c r="J29" s="20">
        <f t="shared" si="2"/>
        <v>0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29.25" customHeight="1" x14ac:dyDescent="0.2">
      <c r="A30" s="106"/>
      <c r="B30" s="107"/>
      <c r="C30" s="107"/>
      <c r="D30" s="108"/>
      <c r="E30" s="17"/>
      <c r="F30" s="18"/>
      <c r="G30" s="18">
        <f t="shared" si="0"/>
        <v>0</v>
      </c>
      <c r="H30" s="19"/>
      <c r="I30" s="20">
        <f t="shared" si="1"/>
        <v>0</v>
      </c>
      <c r="J30" s="20">
        <f t="shared" si="2"/>
        <v>0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ht="29.25" customHeight="1" x14ac:dyDescent="0.2">
      <c r="A31" s="96"/>
      <c r="B31" s="97"/>
      <c r="C31" s="97"/>
      <c r="D31" s="98"/>
      <c r="E31" s="22"/>
      <c r="F31" s="23"/>
      <c r="G31" s="18">
        <f t="shared" si="0"/>
        <v>0</v>
      </c>
      <c r="H31" s="19"/>
      <c r="I31" s="20">
        <f t="shared" ref="I31:I47" si="3">+F31*H31</f>
        <v>0</v>
      </c>
      <c r="J31" s="20">
        <f t="shared" ref="J31:J47" si="4">+G31*H31</f>
        <v>0</v>
      </c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ht="29.25" customHeight="1" x14ac:dyDescent="0.2">
      <c r="A32" s="96"/>
      <c r="B32" s="97"/>
      <c r="C32" s="97"/>
      <c r="D32" s="98"/>
      <c r="E32" s="22"/>
      <c r="F32" s="23"/>
      <c r="G32" s="18">
        <f t="shared" si="0"/>
        <v>0</v>
      </c>
      <c r="H32" s="19"/>
      <c r="I32" s="20">
        <f t="shared" si="3"/>
        <v>0</v>
      </c>
      <c r="J32" s="20">
        <f t="shared" si="4"/>
        <v>0</v>
      </c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29.25" customHeight="1" x14ac:dyDescent="0.2">
      <c r="A33" s="96"/>
      <c r="B33" s="97"/>
      <c r="C33" s="97"/>
      <c r="D33" s="98"/>
      <c r="E33" s="22"/>
      <c r="F33" s="23"/>
      <c r="G33" s="18">
        <f t="shared" si="0"/>
        <v>0</v>
      </c>
      <c r="H33" s="19"/>
      <c r="I33" s="20">
        <f t="shared" si="3"/>
        <v>0</v>
      </c>
      <c r="J33" s="20">
        <f t="shared" si="4"/>
        <v>0</v>
      </c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29.25" customHeight="1" x14ac:dyDescent="0.2">
      <c r="A34" s="96"/>
      <c r="B34" s="97"/>
      <c r="C34" s="97"/>
      <c r="D34" s="98"/>
      <c r="E34" s="22"/>
      <c r="F34" s="23"/>
      <c r="G34" s="18">
        <f t="shared" si="0"/>
        <v>0</v>
      </c>
      <c r="H34" s="19"/>
      <c r="I34" s="20">
        <f t="shared" si="3"/>
        <v>0</v>
      </c>
      <c r="J34" s="20">
        <f t="shared" si="4"/>
        <v>0</v>
      </c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29.25" customHeight="1" x14ac:dyDescent="0.2">
      <c r="A35" s="96"/>
      <c r="B35" s="97"/>
      <c r="C35" s="97"/>
      <c r="D35" s="98"/>
      <c r="E35" s="22"/>
      <c r="F35" s="23"/>
      <c r="G35" s="18">
        <f t="shared" si="0"/>
        <v>0</v>
      </c>
      <c r="H35" s="19"/>
      <c r="I35" s="20">
        <f t="shared" si="3"/>
        <v>0</v>
      </c>
      <c r="J35" s="20">
        <f t="shared" si="4"/>
        <v>0</v>
      </c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29.25" customHeight="1" x14ac:dyDescent="0.2">
      <c r="A36" s="96"/>
      <c r="B36" s="97"/>
      <c r="C36" s="97"/>
      <c r="D36" s="98"/>
      <c r="E36" s="22"/>
      <c r="F36" s="23"/>
      <c r="G36" s="18">
        <f t="shared" si="0"/>
        <v>0</v>
      </c>
      <c r="H36" s="19"/>
      <c r="I36" s="20">
        <f t="shared" si="3"/>
        <v>0</v>
      </c>
      <c r="J36" s="20">
        <f t="shared" si="4"/>
        <v>0</v>
      </c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29.25" customHeight="1" x14ac:dyDescent="0.2">
      <c r="A37" s="96"/>
      <c r="B37" s="97"/>
      <c r="C37" s="97"/>
      <c r="D37" s="98"/>
      <c r="E37" s="22"/>
      <c r="F37" s="23"/>
      <c r="G37" s="18">
        <f t="shared" si="0"/>
        <v>0</v>
      </c>
      <c r="H37" s="19"/>
      <c r="I37" s="20">
        <f t="shared" si="3"/>
        <v>0</v>
      </c>
      <c r="J37" s="20">
        <f t="shared" si="4"/>
        <v>0</v>
      </c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29.25" customHeight="1" x14ac:dyDescent="0.2">
      <c r="A38" s="96"/>
      <c r="B38" s="97"/>
      <c r="C38" s="97"/>
      <c r="D38" s="98"/>
      <c r="E38" s="22"/>
      <c r="F38" s="23"/>
      <c r="G38" s="18">
        <f t="shared" si="0"/>
        <v>0</v>
      </c>
      <c r="H38" s="19"/>
      <c r="I38" s="20">
        <f t="shared" si="3"/>
        <v>0</v>
      </c>
      <c r="J38" s="20">
        <f t="shared" si="4"/>
        <v>0</v>
      </c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29.25" customHeight="1" x14ac:dyDescent="0.2">
      <c r="A39" s="96"/>
      <c r="B39" s="97"/>
      <c r="C39" s="97"/>
      <c r="D39" s="98"/>
      <c r="E39" s="22"/>
      <c r="F39" s="23"/>
      <c r="G39" s="18">
        <f t="shared" si="0"/>
        <v>0</v>
      </c>
      <c r="H39" s="19"/>
      <c r="I39" s="20">
        <f t="shared" si="3"/>
        <v>0</v>
      </c>
      <c r="J39" s="20">
        <f t="shared" si="4"/>
        <v>0</v>
      </c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29.25" customHeight="1" x14ac:dyDescent="0.2">
      <c r="A40" s="96"/>
      <c r="B40" s="109"/>
      <c r="C40" s="109"/>
      <c r="D40" s="110"/>
      <c r="E40" s="22"/>
      <c r="F40" s="23"/>
      <c r="G40" s="18">
        <f t="shared" si="0"/>
        <v>0</v>
      </c>
      <c r="H40" s="19"/>
      <c r="I40" s="20">
        <f t="shared" si="3"/>
        <v>0</v>
      </c>
      <c r="J40" s="20">
        <f t="shared" si="4"/>
        <v>0</v>
      </c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29.25" customHeight="1" x14ac:dyDescent="0.2">
      <c r="A41" s="96"/>
      <c r="B41" s="109"/>
      <c r="C41" s="109"/>
      <c r="D41" s="110"/>
      <c r="E41" s="22"/>
      <c r="F41" s="23"/>
      <c r="G41" s="18">
        <f t="shared" si="0"/>
        <v>0</v>
      </c>
      <c r="H41" s="19"/>
      <c r="I41" s="20">
        <f t="shared" si="3"/>
        <v>0</v>
      </c>
      <c r="J41" s="20">
        <f t="shared" si="4"/>
        <v>0</v>
      </c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29.25" customHeight="1" x14ac:dyDescent="0.2">
      <c r="A42" s="96"/>
      <c r="B42" s="109"/>
      <c r="C42" s="109"/>
      <c r="D42" s="110"/>
      <c r="E42" s="22"/>
      <c r="F42" s="23"/>
      <c r="G42" s="18">
        <f t="shared" si="0"/>
        <v>0</v>
      </c>
      <c r="H42" s="19"/>
      <c r="I42" s="20">
        <f t="shared" si="3"/>
        <v>0</v>
      </c>
      <c r="J42" s="20">
        <f t="shared" si="4"/>
        <v>0</v>
      </c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29.25" customHeight="1" x14ac:dyDescent="0.2">
      <c r="A43" s="96"/>
      <c r="B43" s="109"/>
      <c r="C43" s="109"/>
      <c r="D43" s="110"/>
      <c r="E43" s="22"/>
      <c r="F43" s="23"/>
      <c r="G43" s="18">
        <f t="shared" si="0"/>
        <v>0</v>
      </c>
      <c r="H43" s="19"/>
      <c r="I43" s="20">
        <f t="shared" si="3"/>
        <v>0</v>
      </c>
      <c r="J43" s="20">
        <f t="shared" si="4"/>
        <v>0</v>
      </c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29.25" customHeight="1" x14ac:dyDescent="0.2">
      <c r="A44" s="96"/>
      <c r="B44" s="109"/>
      <c r="C44" s="109"/>
      <c r="D44" s="110"/>
      <c r="E44" s="22"/>
      <c r="F44" s="23"/>
      <c r="G44" s="18">
        <f t="shared" si="0"/>
        <v>0</v>
      </c>
      <c r="H44" s="19"/>
      <c r="I44" s="20">
        <f t="shared" si="3"/>
        <v>0</v>
      </c>
      <c r="J44" s="20">
        <f t="shared" si="4"/>
        <v>0</v>
      </c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29.25" customHeight="1" x14ac:dyDescent="0.2">
      <c r="A45" s="96"/>
      <c r="B45" s="109"/>
      <c r="C45" s="109"/>
      <c r="D45" s="110"/>
      <c r="E45" s="22"/>
      <c r="F45" s="23"/>
      <c r="G45" s="18">
        <f t="shared" si="0"/>
        <v>0</v>
      </c>
      <c r="H45" s="19"/>
      <c r="I45" s="20">
        <f t="shared" si="3"/>
        <v>0</v>
      </c>
      <c r="J45" s="20">
        <f t="shared" si="4"/>
        <v>0</v>
      </c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29.25" customHeight="1" x14ac:dyDescent="0.2">
      <c r="A46" s="96"/>
      <c r="B46" s="109"/>
      <c r="C46" s="109"/>
      <c r="D46" s="110"/>
      <c r="E46" s="22"/>
      <c r="F46" s="23"/>
      <c r="G46" s="18">
        <f t="shared" si="0"/>
        <v>0</v>
      </c>
      <c r="H46" s="19"/>
      <c r="I46" s="20">
        <f t="shared" si="3"/>
        <v>0</v>
      </c>
      <c r="J46" s="20">
        <f t="shared" si="4"/>
        <v>0</v>
      </c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29.25" customHeight="1" x14ac:dyDescent="0.2">
      <c r="A47" s="116"/>
      <c r="B47" s="117"/>
      <c r="C47" s="117"/>
      <c r="D47" s="118"/>
      <c r="E47" s="24"/>
      <c r="F47" s="25"/>
      <c r="G47" s="18">
        <f t="shared" si="0"/>
        <v>0</v>
      </c>
      <c r="H47" s="26"/>
      <c r="I47" s="20">
        <f t="shared" si="3"/>
        <v>0</v>
      </c>
      <c r="J47" s="20">
        <f t="shared" si="4"/>
        <v>0</v>
      </c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29.25" customHeight="1" x14ac:dyDescent="0.2">
      <c r="A48" s="119"/>
      <c r="B48" s="120"/>
      <c r="C48" s="120"/>
      <c r="D48" s="120"/>
      <c r="E48" s="27"/>
      <c r="F48" s="136" t="s">
        <v>15</v>
      </c>
      <c r="G48" s="137"/>
      <c r="H48" s="112"/>
      <c r="I48" s="28">
        <f>+SUM(I25:I47)</f>
        <v>3000</v>
      </c>
      <c r="J48" s="29">
        <f>+SUM(J25:J47)</f>
        <v>12300000</v>
      </c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11" ht="15.75" customHeight="1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</row>
    <row r="50" spans="1:11" ht="15.75" customHeight="1" x14ac:dyDescent="0.25">
      <c r="A50" s="4"/>
    </row>
    <row r="51" spans="1:11" ht="15.75" customHeight="1" x14ac:dyDescent="0.25">
      <c r="A51" s="33" t="s">
        <v>70</v>
      </c>
      <c r="B51" s="34"/>
      <c r="C51" s="34"/>
      <c r="D51" s="34"/>
      <c r="E51" s="48"/>
      <c r="I51" s="30" t="str">
        <f>CONCATENATE("En ",L4)</f>
        <v>En $</v>
      </c>
      <c r="J51" s="30" t="s">
        <v>16</v>
      </c>
    </row>
    <row r="52" spans="1:11" ht="30" customHeight="1" x14ac:dyDescent="0.2">
      <c r="A52" s="151">
        <v>0.3</v>
      </c>
      <c r="B52" s="152"/>
      <c r="C52" s="152"/>
      <c r="D52" s="152"/>
      <c r="E52" s="153"/>
      <c r="G52" s="111" t="s">
        <v>17</v>
      </c>
      <c r="H52" s="112"/>
      <c r="I52" s="31">
        <f t="shared" ref="I52:J52" si="5">+I48</f>
        <v>3000</v>
      </c>
      <c r="J52" s="31">
        <f t="shared" si="5"/>
        <v>12300000</v>
      </c>
    </row>
    <row r="53" spans="1:11" ht="30" customHeight="1" x14ac:dyDescent="0.2">
      <c r="A53" s="166" t="s">
        <v>85</v>
      </c>
      <c r="B53" s="152"/>
      <c r="C53" s="152"/>
      <c r="D53" s="152"/>
      <c r="E53" s="153"/>
      <c r="G53" s="111" t="str">
        <f xml:space="preserve"> CONCATENATE("Total  TVA ", TEXT(L6,"0%"))</f>
        <v>Total  TVA 0%</v>
      </c>
      <c r="H53" s="112"/>
      <c r="I53" s="31">
        <f>+I52*L6</f>
        <v>0</v>
      </c>
      <c r="J53" s="31">
        <f>+J52*L6</f>
        <v>0</v>
      </c>
    </row>
    <row r="54" spans="1:11" ht="30" customHeight="1" x14ac:dyDescent="0.2">
      <c r="A54" s="148"/>
      <c r="B54" s="149"/>
      <c r="C54" s="149"/>
      <c r="D54" s="149"/>
      <c r="E54" s="150"/>
      <c r="G54" s="113" t="s">
        <v>18</v>
      </c>
      <c r="H54" s="112"/>
      <c r="I54" s="32">
        <f>+I52+I53</f>
        <v>3000</v>
      </c>
      <c r="J54" s="32">
        <f>+J52+J53</f>
        <v>12300000</v>
      </c>
    </row>
    <row r="55" spans="1:11" ht="15.75" customHeight="1" x14ac:dyDescent="0.2">
      <c r="A55" s="72"/>
      <c r="B55" s="72"/>
      <c r="C55" s="72"/>
      <c r="D55" s="72"/>
    </row>
    <row r="56" spans="1:11" s="72" customFormat="1" ht="15.75" customHeight="1" x14ac:dyDescent="0.25">
      <c r="A56" s="123" t="s">
        <v>19</v>
      </c>
      <c r="B56" s="124"/>
      <c r="C56" s="124"/>
      <c r="D56" s="124"/>
      <c r="E56" s="125"/>
      <c r="G56" s="158" t="str">
        <f>CONCATENATE("Arrêté la présente facture à la somme de : ", ConvNumberLetter(J54))</f>
        <v>Arrêté la présente facture à la somme de : douze millions trois cents mille ariary</v>
      </c>
      <c r="H56" s="159"/>
      <c r="I56" s="159"/>
      <c r="J56" s="160"/>
    </row>
    <row r="57" spans="1:11" s="72" customFormat="1" ht="15.75" customHeight="1" x14ac:dyDescent="0.25">
      <c r="A57" s="90" t="s">
        <v>65</v>
      </c>
      <c r="B57" s="126"/>
      <c r="C57" s="126"/>
      <c r="D57" s="126"/>
      <c r="E57" s="127"/>
      <c r="G57" s="161"/>
      <c r="H57" s="109"/>
      <c r="I57" s="109"/>
      <c r="J57" s="162"/>
    </row>
    <row r="58" spans="1:11" s="72" customFormat="1" ht="15.75" customHeight="1" x14ac:dyDescent="0.25">
      <c r="A58" s="90" t="s">
        <v>66</v>
      </c>
      <c r="B58" s="126"/>
      <c r="C58" s="126"/>
      <c r="D58" s="126"/>
      <c r="E58" s="127"/>
      <c r="G58" s="161"/>
      <c r="H58" s="109"/>
      <c r="I58" s="109"/>
      <c r="J58" s="162"/>
    </row>
    <row r="59" spans="1:11" s="72" customFormat="1" ht="15.75" customHeight="1" x14ac:dyDescent="0.25">
      <c r="A59" s="90" t="s">
        <v>67</v>
      </c>
      <c r="B59" s="126"/>
      <c r="C59" s="126"/>
      <c r="D59" s="126"/>
      <c r="E59" s="127"/>
      <c r="G59" s="161"/>
      <c r="H59" s="109"/>
      <c r="I59" s="109"/>
      <c r="J59" s="162"/>
    </row>
    <row r="60" spans="1:11" ht="15.75" customHeight="1" x14ac:dyDescent="0.25">
      <c r="A60" s="90" t="s">
        <v>68</v>
      </c>
      <c r="B60" s="126"/>
      <c r="C60" s="126"/>
      <c r="D60" s="126"/>
      <c r="E60" s="127"/>
      <c r="G60" s="161"/>
      <c r="H60" s="109"/>
      <c r="I60" s="109"/>
      <c r="J60" s="162"/>
    </row>
    <row r="61" spans="1:11" ht="15.75" customHeight="1" x14ac:dyDescent="0.25">
      <c r="A61" s="99" t="s">
        <v>69</v>
      </c>
      <c r="B61" s="128"/>
      <c r="C61" s="128"/>
      <c r="D61" s="128"/>
      <c r="E61" s="129"/>
      <c r="G61" s="163"/>
      <c r="H61" s="164"/>
      <c r="I61" s="164"/>
      <c r="J61" s="165"/>
    </row>
    <row r="62" spans="1:11" ht="15.75" customHeight="1" x14ac:dyDescent="0.2">
      <c r="G62" s="40"/>
      <c r="H62" s="40"/>
      <c r="I62" s="40"/>
      <c r="J62" s="40"/>
      <c r="K62" s="39"/>
    </row>
    <row r="63" spans="1:11" ht="15.75" customHeight="1" x14ac:dyDescent="0.2">
      <c r="G63" s="76"/>
      <c r="H63" s="76"/>
      <c r="I63" s="76"/>
      <c r="J63" s="77"/>
      <c r="K63" s="37"/>
    </row>
    <row r="64" spans="1:11" ht="15.75" customHeight="1" x14ac:dyDescent="0.2">
      <c r="G64" s="152"/>
      <c r="H64" s="152"/>
      <c r="I64" s="152"/>
      <c r="J64" s="152"/>
      <c r="K64" s="40"/>
    </row>
    <row r="65" spans="1:10" ht="15.75" customHeight="1" x14ac:dyDescent="0.2">
      <c r="G65" s="152"/>
      <c r="H65" s="152"/>
      <c r="I65" s="152"/>
      <c r="J65" s="152"/>
    </row>
    <row r="66" spans="1:10" ht="15.75" customHeight="1" x14ac:dyDescent="0.2">
      <c r="G66" s="154"/>
      <c r="H66" s="154"/>
      <c r="I66" s="154"/>
      <c r="J66" s="154"/>
    </row>
    <row r="67" spans="1:10" ht="15.75" customHeight="1" x14ac:dyDescent="0.25">
      <c r="A67" s="51"/>
      <c r="B67" s="21"/>
      <c r="C67" s="21"/>
      <c r="D67" s="21"/>
      <c r="G67" s="154"/>
      <c r="H67" s="154"/>
      <c r="I67" s="154"/>
      <c r="J67" s="154"/>
    </row>
    <row r="68" spans="1:10" ht="15.75" customHeight="1" x14ac:dyDescent="0.2">
      <c r="G68" s="21"/>
      <c r="H68" s="21"/>
      <c r="I68" s="21"/>
      <c r="J68" s="21"/>
    </row>
    <row r="69" spans="1:10" ht="15.75" customHeight="1" x14ac:dyDescent="0.2"/>
    <row r="70" spans="1:10" ht="15.75" customHeight="1" x14ac:dyDescent="0.2">
      <c r="A70" s="114" t="s">
        <v>36</v>
      </c>
      <c r="B70" s="114"/>
      <c r="C70" s="114"/>
      <c r="D70" s="114"/>
      <c r="E70" s="114"/>
      <c r="F70" s="114"/>
      <c r="G70" s="114"/>
      <c r="H70" s="114"/>
      <c r="I70" s="114"/>
      <c r="J70" s="114"/>
    </row>
    <row r="71" spans="1:10" ht="15.75" customHeight="1" x14ac:dyDescent="0.2">
      <c r="A71" s="71"/>
      <c r="B71" s="71"/>
      <c r="C71" s="71"/>
      <c r="D71" s="71"/>
      <c r="E71" s="71"/>
      <c r="F71" s="71"/>
      <c r="G71" s="71"/>
      <c r="H71" s="71"/>
      <c r="I71" s="71"/>
      <c r="J71" s="71"/>
    </row>
    <row r="72" spans="1:10" ht="15.75" customHeight="1" x14ac:dyDescent="0.2"/>
    <row r="73" spans="1:10" ht="15.75" customHeight="1" x14ac:dyDescent="0.2"/>
    <row r="74" spans="1:10" ht="15.75" customHeight="1" x14ac:dyDescent="0.2"/>
    <row r="75" spans="1:10" ht="15.75" customHeight="1" x14ac:dyDescent="0.2"/>
    <row r="76" spans="1:10" ht="15.75" customHeight="1" x14ac:dyDescent="0.2"/>
    <row r="77" spans="1:10" ht="15.75" customHeight="1" x14ac:dyDescent="0.2"/>
    <row r="78" spans="1:10" ht="15.75" customHeight="1" x14ac:dyDescent="0.2"/>
    <row r="79" spans="1:10" ht="15.75" customHeight="1" x14ac:dyDescent="0.2"/>
    <row r="80" spans="1:1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</sheetData>
  <mergeCells count="54">
    <mergeCell ref="G53:H53"/>
    <mergeCell ref="G54:H54"/>
    <mergeCell ref="A44:D44"/>
    <mergeCell ref="A45:D45"/>
    <mergeCell ref="A46:D46"/>
    <mergeCell ref="A47:D47"/>
    <mergeCell ref="A48:D48"/>
    <mergeCell ref="F48:H48"/>
    <mergeCell ref="A43:D43"/>
    <mergeCell ref="A32:D32"/>
    <mergeCell ref="A33:D33"/>
    <mergeCell ref="A34:D34"/>
    <mergeCell ref="A35:D35"/>
    <mergeCell ref="A36:D36"/>
    <mergeCell ref="A37:D37"/>
    <mergeCell ref="A38:D38"/>
    <mergeCell ref="A39:D39"/>
    <mergeCell ref="A40:D40"/>
    <mergeCell ref="A41:D41"/>
    <mergeCell ref="A42:D42"/>
    <mergeCell ref="A31:D31"/>
    <mergeCell ref="E17:J17"/>
    <mergeCell ref="E18:J18"/>
    <mergeCell ref="A20:G21"/>
    <mergeCell ref="H20:J21"/>
    <mergeCell ref="A24:D24"/>
    <mergeCell ref="A25:D25"/>
    <mergeCell ref="A26:D26"/>
    <mergeCell ref="A27:D27"/>
    <mergeCell ref="A28:D28"/>
    <mergeCell ref="A29:D29"/>
    <mergeCell ref="A30:D30"/>
    <mergeCell ref="E16:J16"/>
    <mergeCell ref="E11:J11"/>
    <mergeCell ref="E12:J12"/>
    <mergeCell ref="E13:J13"/>
    <mergeCell ref="E14:J14"/>
    <mergeCell ref="E15:J15"/>
    <mergeCell ref="A70:J70"/>
    <mergeCell ref="G56:J61"/>
    <mergeCell ref="A52:E52"/>
    <mergeCell ref="A53:E53"/>
    <mergeCell ref="A54:E54"/>
    <mergeCell ref="A56:E56"/>
    <mergeCell ref="A57:E57"/>
    <mergeCell ref="A58:E58"/>
    <mergeCell ref="A59:E59"/>
    <mergeCell ref="A60:E60"/>
    <mergeCell ref="A61:E61"/>
    <mergeCell ref="G64:J64"/>
    <mergeCell ref="G65:J65"/>
    <mergeCell ref="G66:J66"/>
    <mergeCell ref="G67:J67"/>
    <mergeCell ref="G52:H52"/>
  </mergeCells>
  <printOptions horizontalCentered="1"/>
  <pageMargins left="0.23622047244094491" right="0.23622047244094491" top="0.74803149606299213" bottom="0.74803149606299213" header="0" footer="0"/>
  <pageSetup paperSize="9" scale="4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4</vt:i4>
      </vt:variant>
    </vt:vector>
  </HeadingPairs>
  <TitlesOfParts>
    <vt:vector size="11" baseType="lpstr">
      <vt:lpstr>Formulaire</vt:lpstr>
      <vt:lpstr>Historique devis</vt:lpstr>
      <vt:lpstr>Historique facture</vt:lpstr>
      <vt:lpstr>Modele-devis-sansDevise </vt:lpstr>
      <vt:lpstr>Modele-devis-avecDevise</vt:lpstr>
      <vt:lpstr>Modele-facture-sansDevise</vt:lpstr>
      <vt:lpstr>Modele-Facture-avecDevise</vt:lpstr>
      <vt:lpstr>'Modele-devis-avecDevise'!Zone_d_impression</vt:lpstr>
      <vt:lpstr>'Modele-devis-sansDevise '!Zone_d_impression</vt:lpstr>
      <vt:lpstr>'Modele-Facture-avecDevise'!Zone_d_impression</vt:lpstr>
      <vt:lpstr>'Modele-facture-sansDevise'!Zone_d_impression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Nicky</dc:creator>
  <cp:lastModifiedBy>Nicky</cp:lastModifiedBy>
  <cp:lastPrinted>2020-10-27T06:52:29Z</cp:lastPrinted>
  <dcterms:created xsi:type="dcterms:W3CDTF">2020-10-20T08:31:57Z</dcterms:created>
  <dcterms:modified xsi:type="dcterms:W3CDTF">2020-10-27T06:58:52Z</dcterms:modified>
</cp:coreProperties>
</file>